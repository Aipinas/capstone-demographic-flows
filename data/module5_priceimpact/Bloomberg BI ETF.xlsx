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Bloomberg/"/>
    </mc:Choice>
  </mc:AlternateContent>
  <xr:revisionPtr revIDLastSave="0" documentId="8_{8A7DC6EB-C20C-4118-B564-33D283673773}" xr6:coauthVersionLast="47" xr6:coauthVersionMax="47" xr10:uidLastSave="{00000000-0000-0000-0000-000000000000}"/>
  <bookViews>
    <workbookView xWindow="3510" yWindow="3495" windowWidth="13305" windowHeight="12705" xr2:uid="{00000000-000D-0000-FFFF-FFFF00000000}"/>
  </bookViews>
  <sheets>
    <sheet name="BIData" sheetId="2" r:id="rId1"/>
    <sheet name="ReferenceData" sheetId="3" r:id="rId2"/>
    <sheet name="Help-Referen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27" i="3" l="1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E127" i="3"/>
  <c r="D127" i="3"/>
  <c r="C127" i="3"/>
  <c r="B127" i="3"/>
  <c r="A127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126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125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124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123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122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121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120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119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118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117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116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115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114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113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112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111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E109" i="3"/>
  <c r="D109" i="3"/>
  <c r="C109" i="3"/>
  <c r="B109" i="3"/>
  <c r="A109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E108" i="3"/>
  <c r="D108" i="3"/>
  <c r="C108" i="3"/>
  <c r="B108" i="3"/>
  <c r="A108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E107" i="3"/>
  <c r="D107" i="3"/>
  <c r="C107" i="3"/>
  <c r="A107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E106" i="3"/>
  <c r="D106" i="3"/>
  <c r="C106" i="3"/>
  <c r="B106" i="3"/>
  <c r="A106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105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E104" i="3"/>
  <c r="D104" i="3"/>
  <c r="C104" i="3"/>
  <c r="B104" i="3"/>
  <c r="A104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E103" i="3"/>
  <c r="D103" i="3"/>
  <c r="C103" i="3"/>
  <c r="B103" i="3"/>
  <c r="A103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E102" i="3"/>
  <c r="D102" i="3"/>
  <c r="C102" i="3"/>
  <c r="B102" i="3"/>
  <c r="A102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E101" i="3"/>
  <c r="D101" i="3"/>
  <c r="C101" i="3"/>
  <c r="B101" i="3"/>
  <c r="A101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E100" i="3"/>
  <c r="D100" i="3"/>
  <c r="C100" i="3"/>
  <c r="B100" i="3"/>
  <c r="A100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E99" i="3"/>
  <c r="D99" i="3"/>
  <c r="C99" i="3"/>
  <c r="B99" i="3"/>
  <c r="A99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E97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D95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B94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D93" i="3"/>
  <c r="A93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E91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E83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E77" i="3"/>
  <c r="D77" i="3"/>
  <c r="C77" i="3"/>
  <c r="B77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E76" i="3"/>
  <c r="D76" i="3"/>
  <c r="C76" i="3"/>
  <c r="B76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74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B73" i="3"/>
  <c r="B107" i="3" s="1"/>
  <c r="A73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72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B71" i="3"/>
  <c r="C72" i="3" s="1"/>
  <c r="A71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C70" i="3"/>
  <c r="B70" i="3"/>
  <c r="A70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B69" i="3"/>
  <c r="A69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68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67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E58" i="3"/>
  <c r="B58" i="3"/>
  <c r="A58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E57" i="3"/>
  <c r="B57" i="3"/>
  <c r="A57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E56" i="3"/>
  <c r="B56" i="3"/>
  <c r="A56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E55" i="3"/>
  <c r="B55" i="3"/>
  <c r="A55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E54" i="3"/>
  <c r="B54" i="3"/>
  <c r="A54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E53" i="3"/>
  <c r="B53" i="3"/>
  <c r="A53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E52" i="3"/>
  <c r="B52" i="3"/>
  <c r="A52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E51" i="3"/>
  <c r="B51" i="3"/>
  <c r="A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E50" i="3"/>
  <c r="B50" i="3"/>
  <c r="A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E49" i="3"/>
  <c r="B49" i="3"/>
  <c r="A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E48" i="3"/>
  <c r="E98" i="3" s="1"/>
  <c r="D48" i="3"/>
  <c r="D98" i="3" s="1"/>
  <c r="C48" i="3"/>
  <c r="C98" i="3" s="1"/>
  <c r="B48" i="3"/>
  <c r="B98" i="3" s="1"/>
  <c r="A48" i="3"/>
  <c r="A98" i="3" s="1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E47" i="3"/>
  <c r="B47" i="3"/>
  <c r="A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E46" i="3"/>
  <c r="D46" i="3"/>
  <c r="D97" i="3" s="1"/>
  <c r="C46" i="3"/>
  <c r="C97" i="3" s="1"/>
  <c r="B46" i="3"/>
  <c r="B97" i="3" s="1"/>
  <c r="A46" i="3"/>
  <c r="A97" i="3" s="1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E45" i="3"/>
  <c r="E96" i="3" s="1"/>
  <c r="D45" i="3"/>
  <c r="D96" i="3" s="1"/>
  <c r="C45" i="3"/>
  <c r="C96" i="3" s="1"/>
  <c r="B45" i="3"/>
  <c r="B96" i="3" s="1"/>
  <c r="A45" i="3"/>
  <c r="A96" i="3" s="1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E44" i="3"/>
  <c r="B44" i="3"/>
  <c r="A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E43" i="3"/>
  <c r="E95" i="3" s="1"/>
  <c r="D43" i="3"/>
  <c r="C43" i="3"/>
  <c r="C95" i="3" s="1"/>
  <c r="B43" i="3"/>
  <c r="B95" i="3" s="1"/>
  <c r="A43" i="3"/>
  <c r="A95" i="3" s="1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E42" i="3"/>
  <c r="E94" i="3" s="1"/>
  <c r="D42" i="3"/>
  <c r="D94" i="3" s="1"/>
  <c r="C42" i="3"/>
  <c r="C94" i="3" s="1"/>
  <c r="B42" i="3"/>
  <c r="A42" i="3"/>
  <c r="A94" i="3" s="1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E41" i="3"/>
  <c r="B41" i="3"/>
  <c r="A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E40" i="3"/>
  <c r="B40" i="3"/>
  <c r="A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E39" i="3"/>
  <c r="E93" i="3" s="1"/>
  <c r="D39" i="3"/>
  <c r="C39" i="3"/>
  <c r="C93" i="3" s="1"/>
  <c r="B39" i="3"/>
  <c r="B93" i="3" s="1"/>
  <c r="A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E38" i="3"/>
  <c r="E92" i="3" s="1"/>
  <c r="D38" i="3"/>
  <c r="D92" i="3" s="1"/>
  <c r="C38" i="3"/>
  <c r="C92" i="3" s="1"/>
  <c r="B38" i="3"/>
  <c r="B92" i="3" s="1"/>
  <c r="A38" i="3"/>
  <c r="A92" i="3" s="1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E37" i="3"/>
  <c r="B37" i="3"/>
  <c r="A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E36" i="3"/>
  <c r="D36" i="3"/>
  <c r="D91" i="3" s="1"/>
  <c r="C36" i="3"/>
  <c r="C91" i="3" s="1"/>
  <c r="B36" i="3"/>
  <c r="B91" i="3" s="1"/>
  <c r="A36" i="3"/>
  <c r="A91" i="3" s="1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E35" i="3"/>
  <c r="E90" i="3" s="1"/>
  <c r="D35" i="3"/>
  <c r="D90" i="3" s="1"/>
  <c r="C35" i="3"/>
  <c r="C90" i="3" s="1"/>
  <c r="B35" i="3"/>
  <c r="B90" i="3" s="1"/>
  <c r="A35" i="3"/>
  <c r="A90" i="3" s="1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E34" i="3"/>
  <c r="B34" i="3"/>
  <c r="A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E33" i="3"/>
  <c r="B33" i="3"/>
  <c r="A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E32" i="3"/>
  <c r="E89" i="3" s="1"/>
  <c r="D32" i="3"/>
  <c r="D89" i="3" s="1"/>
  <c r="C32" i="3"/>
  <c r="C89" i="3" s="1"/>
  <c r="B32" i="3"/>
  <c r="B89" i="3" s="1"/>
  <c r="A32" i="3"/>
  <c r="A89" i="3" s="1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E31" i="3"/>
  <c r="E88" i="3" s="1"/>
  <c r="D31" i="3"/>
  <c r="D88" i="3" s="1"/>
  <c r="C31" i="3"/>
  <c r="C88" i="3" s="1"/>
  <c r="B31" i="3"/>
  <c r="B88" i="3" s="1"/>
  <c r="A31" i="3"/>
  <c r="A88" i="3" s="1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E30" i="3"/>
  <c r="B30" i="3"/>
  <c r="A30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E29" i="3"/>
  <c r="E87" i="3" s="1"/>
  <c r="D29" i="3"/>
  <c r="D87" i="3" s="1"/>
  <c r="C29" i="3"/>
  <c r="C87" i="3" s="1"/>
  <c r="B29" i="3"/>
  <c r="B87" i="3" s="1"/>
  <c r="A29" i="3"/>
  <c r="A87" i="3" s="1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E28" i="3"/>
  <c r="E86" i="3" s="1"/>
  <c r="D28" i="3"/>
  <c r="D86" i="3" s="1"/>
  <c r="C28" i="3"/>
  <c r="C86" i="3" s="1"/>
  <c r="B28" i="3"/>
  <c r="B86" i="3" s="1"/>
  <c r="A28" i="3"/>
  <c r="A86" i="3" s="1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E27" i="3"/>
  <c r="B27" i="3"/>
  <c r="A27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E26" i="3"/>
  <c r="B26" i="3"/>
  <c r="A26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E25" i="3"/>
  <c r="E85" i="3" s="1"/>
  <c r="D25" i="3"/>
  <c r="D85" i="3" s="1"/>
  <c r="C25" i="3"/>
  <c r="C85" i="3" s="1"/>
  <c r="B25" i="3"/>
  <c r="B85" i="3" s="1"/>
  <c r="A25" i="3"/>
  <c r="A85" i="3" s="1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E24" i="3"/>
  <c r="E84" i="3" s="1"/>
  <c r="D24" i="3"/>
  <c r="D84" i="3" s="1"/>
  <c r="C24" i="3"/>
  <c r="C84" i="3" s="1"/>
  <c r="B24" i="3"/>
  <c r="B84" i="3" s="1"/>
  <c r="A24" i="3"/>
  <c r="A84" i="3" s="1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E23" i="3"/>
  <c r="B23" i="3"/>
  <c r="A23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E22" i="3"/>
  <c r="D22" i="3"/>
  <c r="D83" i="3" s="1"/>
  <c r="C22" i="3"/>
  <c r="C83" i="3" s="1"/>
  <c r="B22" i="3"/>
  <c r="B83" i="3" s="1"/>
  <c r="A22" i="3"/>
  <c r="A83" i="3" s="1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E21" i="3"/>
  <c r="E82" i="3" s="1"/>
  <c r="D21" i="3"/>
  <c r="D82" i="3" s="1"/>
  <c r="C21" i="3"/>
  <c r="C82" i="3" s="1"/>
  <c r="B21" i="3"/>
  <c r="B82" i="3" s="1"/>
  <c r="A21" i="3"/>
  <c r="A82" i="3" s="1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E20" i="3"/>
  <c r="B20" i="3"/>
  <c r="A20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E19" i="3"/>
  <c r="B19" i="3"/>
  <c r="A19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E18" i="3"/>
  <c r="E81" i="3" s="1"/>
  <c r="D18" i="3"/>
  <c r="D81" i="3" s="1"/>
  <c r="C18" i="3"/>
  <c r="C81" i="3" s="1"/>
  <c r="B18" i="3"/>
  <c r="B81" i="3" s="1"/>
  <c r="A18" i="3"/>
  <c r="A81" i="3" s="1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E17" i="3"/>
  <c r="E80" i="3" s="1"/>
  <c r="D17" i="3"/>
  <c r="D80" i="3" s="1"/>
  <c r="C17" i="3"/>
  <c r="C80" i="3" s="1"/>
  <c r="B17" i="3"/>
  <c r="B80" i="3" s="1"/>
  <c r="A17" i="3"/>
  <c r="A80" i="3" s="1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E16" i="3"/>
  <c r="B16" i="3"/>
  <c r="A16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E15" i="3"/>
  <c r="E79" i="3" s="1"/>
  <c r="D15" i="3"/>
  <c r="D79" i="3" s="1"/>
  <c r="C15" i="3"/>
  <c r="C79" i="3" s="1"/>
  <c r="B15" i="3"/>
  <c r="B79" i="3" s="1"/>
  <c r="A15" i="3"/>
  <c r="A79" i="3" s="1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E14" i="3"/>
  <c r="E78" i="3" s="1"/>
  <c r="D14" i="3"/>
  <c r="D78" i="3" s="1"/>
  <c r="C14" i="3"/>
  <c r="C78" i="3" s="1"/>
  <c r="B14" i="3"/>
  <c r="B78" i="3" s="1"/>
  <c r="A14" i="3"/>
  <c r="A78" i="3" s="1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E13" i="3"/>
  <c r="B13" i="3"/>
  <c r="A13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E12" i="3"/>
  <c r="B12" i="3"/>
  <c r="A12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E11" i="3"/>
  <c r="B11" i="3"/>
  <c r="A11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E10" i="3"/>
  <c r="B10" i="3"/>
  <c r="A10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E9" i="3"/>
  <c r="B9" i="3"/>
  <c r="A9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E8" i="3"/>
  <c r="B8" i="3"/>
  <c r="A8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E7" i="3"/>
  <c r="B7" i="3"/>
  <c r="A7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E6" i="3"/>
  <c r="B6" i="3"/>
  <c r="A6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E5" i="3"/>
  <c r="B5" i="3"/>
  <c r="A5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E4" i="3"/>
  <c r="B4" i="3"/>
  <c r="A4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E3" i="3"/>
  <c r="B3" i="3"/>
  <c r="A3" i="3"/>
  <c r="E2" i="3"/>
  <c r="D2" i="3"/>
  <c r="C2" i="3"/>
  <c r="B2" i="3"/>
  <c r="A2" i="3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A37" i="2"/>
  <c r="E36" i="2"/>
  <c r="D36" i="2"/>
  <c r="C36" i="2"/>
  <c r="B36" i="2"/>
  <c r="A36" i="2"/>
  <c r="E35" i="2"/>
  <c r="D35" i="2"/>
  <c r="C35" i="2"/>
  <c r="B35" i="2"/>
  <c r="A35" i="2"/>
  <c r="E34" i="2"/>
  <c r="D34" i="2"/>
  <c r="C34" i="2"/>
  <c r="B34" i="2"/>
  <c r="A34" i="2"/>
  <c r="E33" i="2"/>
  <c r="D33" i="2"/>
  <c r="C33" i="2"/>
  <c r="B33" i="2"/>
  <c r="A33" i="2"/>
  <c r="E32" i="2"/>
  <c r="D32" i="2"/>
  <c r="C32" i="2"/>
  <c r="B32" i="2"/>
  <c r="A32" i="2"/>
  <c r="E31" i="2"/>
  <c r="D31" i="2"/>
  <c r="C31" i="2"/>
  <c r="B31" i="2"/>
  <c r="A31" i="2"/>
  <c r="E30" i="2"/>
  <c r="D30" i="2"/>
  <c r="C30" i="2"/>
  <c r="B30" i="2"/>
  <c r="A30" i="2"/>
  <c r="E29" i="2"/>
  <c r="D29" i="2"/>
  <c r="C29" i="2"/>
  <c r="B29" i="2"/>
  <c r="A29" i="2"/>
  <c r="E28" i="2"/>
  <c r="D28" i="2"/>
  <c r="C28" i="2"/>
  <c r="B28" i="2"/>
  <c r="A28" i="2"/>
  <c r="E27" i="2"/>
  <c r="D27" i="2"/>
  <c r="C27" i="2"/>
  <c r="B27" i="2"/>
  <c r="A27" i="2"/>
  <c r="E26" i="2"/>
  <c r="D26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E2" i="2"/>
  <c r="D2" i="2"/>
  <c r="C2" i="2"/>
  <c r="B2" i="2"/>
  <c r="A2" i="2"/>
  <c r="F85" i="3" a="1"/>
  <c r="F84" i="3" a="1"/>
  <c r="F94" i="3" a="1"/>
  <c r="F97" i="3" a="1"/>
  <c r="F90" i="3" a="1"/>
  <c r="F93" i="3" a="1"/>
  <c r="F88" i="3" a="1"/>
  <c r="F91" i="3" a="1"/>
  <c r="F80" i="3" a="1"/>
  <c r="F92" i="3" a="1"/>
  <c r="F82" i="3" a="1"/>
  <c r="F95" i="3" a="1"/>
  <c r="F83" i="3" a="1"/>
  <c r="F78" i="3" a="1"/>
  <c r="F79" i="3" a="1"/>
  <c r="F89" i="3" a="1"/>
  <c r="F76" i="3" a="1"/>
  <c r="F86" i="3" a="1"/>
  <c r="F96" i="3" a="1"/>
  <c r="F87" i="3" a="1"/>
  <c r="F81" i="3" a="1"/>
  <c r="F98" i="3" a="1"/>
  <c r="F77" i="3" a="1"/>
  <c r="C121" i="3" a="1"/>
  <c r="C113" i="3" a="1"/>
  <c r="C119" i="3" a="1"/>
  <c r="C111" i="3" a="1"/>
  <c r="C123" i="3" a="1"/>
  <c r="C115" i="3" a="1"/>
  <c r="F77" i="3" l="1"/>
  <c r="F98" i="3"/>
  <c r="F81" i="3"/>
  <c r="F87" i="3"/>
  <c r="F96" i="3"/>
  <c r="F86" i="3"/>
  <c r="F76" i="3"/>
  <c r="F89" i="3"/>
  <c r="F79" i="3"/>
  <c r="F78" i="3"/>
  <c r="F83" i="3"/>
  <c r="F95" i="3"/>
  <c r="F82" i="3"/>
  <c r="F92" i="3"/>
  <c r="F80" i="3"/>
  <c r="F91" i="3"/>
  <c r="F88" i="3"/>
  <c r="F93" i="3"/>
  <c r="F90" i="3"/>
  <c r="F97" i="3"/>
  <c r="F94" i="3"/>
  <c r="F84" i="3"/>
  <c r="F85" i="3"/>
  <c r="C115" i="3"/>
  <c r="C123" i="3"/>
  <c r="C111" i="3"/>
  <c r="C119" i="3"/>
  <c r="C113" i="3"/>
  <c r="C121" i="3"/>
  <c r="B72" i="3"/>
  <c r="B113" i="3" l="1"/>
  <c r="B119" i="3"/>
  <c r="B115" i="3"/>
  <c r="B121" i="3"/>
  <c r="B123" i="3"/>
  <c r="B111" i="3"/>
  <c r="U125" i="3" l="1"/>
  <c r="U126" i="3" s="1"/>
  <c r="E125" i="3"/>
  <c r="E126" i="3" s="1"/>
  <c r="T125" i="3"/>
  <c r="T126" i="3" s="1"/>
  <c r="D125" i="3"/>
  <c r="D126" i="3" s="1"/>
  <c r="S125" i="3"/>
  <c r="S126" i="3" s="1"/>
  <c r="C125" i="3"/>
  <c r="C126" i="3" s="1"/>
  <c r="R125" i="3"/>
  <c r="R126" i="3" s="1"/>
  <c r="B125" i="3"/>
  <c r="B126" i="3" s="1"/>
  <c r="Q125" i="3"/>
  <c r="Q126" i="3" s="1"/>
  <c r="P125" i="3"/>
  <c r="P126" i="3" s="1"/>
  <c r="O125" i="3"/>
  <c r="O126" i="3" s="1"/>
  <c r="AD125" i="3"/>
  <c r="AD126" i="3" s="1"/>
  <c r="N125" i="3"/>
  <c r="N126" i="3" s="1"/>
  <c r="AC125" i="3"/>
  <c r="AC126" i="3" s="1"/>
  <c r="M125" i="3"/>
  <c r="M126" i="3" s="1"/>
  <c r="AB125" i="3"/>
  <c r="AB126" i="3" s="1"/>
  <c r="L125" i="3"/>
  <c r="L126" i="3" s="1"/>
  <c r="AA125" i="3"/>
  <c r="AA126" i="3" s="1"/>
  <c r="K125" i="3"/>
  <c r="K126" i="3" s="1"/>
  <c r="Z125" i="3"/>
  <c r="Z126" i="3" s="1"/>
  <c r="J125" i="3"/>
  <c r="J126" i="3" s="1"/>
  <c r="Y125" i="3"/>
  <c r="Y126" i="3" s="1"/>
  <c r="I125" i="3"/>
  <c r="I126" i="3" s="1"/>
  <c r="X125" i="3"/>
  <c r="X126" i="3" s="1"/>
  <c r="H125" i="3"/>
  <c r="H126" i="3" s="1"/>
  <c r="W125" i="3"/>
  <c r="W126" i="3" s="1"/>
  <c r="G125" i="3"/>
  <c r="G126" i="3" s="1"/>
  <c r="V125" i="3"/>
  <c r="V126" i="3" s="1"/>
  <c r="F125" i="3"/>
  <c r="F126" i="3" s="1"/>
  <c r="AC117" i="3"/>
  <c r="AC118" i="3" s="1"/>
  <c r="M117" i="3"/>
  <c r="M118" i="3" s="1"/>
  <c r="AB117" i="3"/>
  <c r="AB118" i="3" s="1"/>
  <c r="L117" i="3"/>
  <c r="L118" i="3" s="1"/>
  <c r="AA117" i="3"/>
  <c r="AA118" i="3" s="1"/>
  <c r="K117" i="3"/>
  <c r="K118" i="3" s="1"/>
  <c r="Z117" i="3"/>
  <c r="Z118" i="3" s="1"/>
  <c r="J117" i="3"/>
  <c r="J118" i="3" s="1"/>
  <c r="Y117" i="3"/>
  <c r="Y118" i="3" s="1"/>
  <c r="I117" i="3"/>
  <c r="I118" i="3" s="1"/>
  <c r="X117" i="3"/>
  <c r="X118" i="3" s="1"/>
  <c r="H117" i="3"/>
  <c r="H118" i="3" s="1"/>
  <c r="W117" i="3"/>
  <c r="W118" i="3" s="1"/>
  <c r="G117" i="3"/>
  <c r="G118" i="3" s="1"/>
  <c r="V117" i="3"/>
  <c r="V118" i="3" s="1"/>
  <c r="F117" i="3"/>
  <c r="F118" i="3" s="1"/>
  <c r="U117" i="3"/>
  <c r="U118" i="3" s="1"/>
  <c r="E117" i="3"/>
  <c r="E118" i="3" s="1"/>
  <c r="T117" i="3"/>
  <c r="T118" i="3" s="1"/>
  <c r="D117" i="3"/>
  <c r="D118" i="3" s="1"/>
  <c r="S117" i="3"/>
  <c r="S118" i="3" s="1"/>
  <c r="C117" i="3"/>
  <c r="C118" i="3" s="1"/>
  <c r="R117" i="3"/>
  <c r="R118" i="3" s="1"/>
  <c r="B117" i="3"/>
  <c r="B118" i="3" s="1"/>
  <c r="Q117" i="3"/>
  <c r="Q118" i="3" s="1"/>
  <c r="P117" i="3"/>
  <c r="P118" i="3" s="1"/>
  <c r="O117" i="3"/>
  <c r="O118" i="3" s="1"/>
  <c r="AD117" i="3"/>
  <c r="AD118" i="3" s="1"/>
  <c r="N117" i="3"/>
  <c r="N118" i="3" s="1"/>
  <c r="B74" i="3" l="1"/>
  <c r="W2" i="3"/>
  <c r="P2" i="2" s="1"/>
  <c r="AY2" i="3"/>
  <c r="BA2" i="3"/>
  <c r="Y2" i="3"/>
  <c r="N2" i="2" s="1"/>
  <c r="AL2" i="3"/>
  <c r="J2" i="3"/>
  <c r="AC2" i="2" s="1"/>
  <c r="Q2" i="3"/>
  <c r="V2" i="2" s="1"/>
  <c r="AS2" i="3"/>
  <c r="AG2" i="3"/>
  <c r="F2" i="2" s="1"/>
  <c r="BI2" i="3"/>
  <c r="R2" i="3"/>
  <c r="U2" i="2" s="1"/>
  <c r="AT2" i="3"/>
  <c r="BC2" i="3"/>
  <c r="AA2" i="3"/>
  <c r="L2" i="2" s="1"/>
  <c r="AE2" i="3"/>
  <c r="H2" i="2" s="1"/>
  <c r="BG2" i="3"/>
  <c r="H2" i="3"/>
  <c r="AE2" i="2" s="1"/>
  <c r="AJ2" i="3"/>
  <c r="X2" i="3"/>
  <c r="O2" i="2" s="1"/>
  <c r="AZ2" i="3"/>
  <c r="AK2" i="3"/>
  <c r="I2" i="3"/>
  <c r="AD2" i="2" s="1"/>
  <c r="AM2" i="3"/>
  <c r="K2" i="3"/>
  <c r="AB2" i="2" s="1"/>
  <c r="AN2" i="3"/>
  <c r="L2" i="3"/>
  <c r="AA2" i="2" s="1"/>
  <c r="BD2" i="3"/>
  <c r="AB2" i="3"/>
  <c r="K2" i="2" s="1"/>
  <c r="U2" i="3"/>
  <c r="R2" i="2" s="1"/>
  <c r="AW2" i="3"/>
  <c r="F2" i="3"/>
  <c r="AG2" i="2" s="1"/>
  <c r="AH2" i="3"/>
  <c r="V2" i="3"/>
  <c r="Q2" i="2" s="1"/>
  <c r="AX2" i="3"/>
  <c r="AD2" i="3"/>
  <c r="I2" i="2" s="1"/>
  <c r="BF2" i="3"/>
  <c r="P2" i="3"/>
  <c r="W2" i="2" s="1"/>
  <c r="AR2" i="3"/>
  <c r="AF2" i="3"/>
  <c r="G2" i="2" s="1"/>
  <c r="BH2" i="3"/>
  <c r="BB2" i="3"/>
  <c r="Z2" i="3"/>
  <c r="M2" i="2" s="1"/>
  <c r="S2" i="3"/>
  <c r="T2" i="2" s="1"/>
  <c r="AU2" i="3"/>
  <c r="T2" i="3"/>
  <c r="S2" i="2" s="1"/>
  <c r="AV2" i="3"/>
  <c r="M2" i="3"/>
  <c r="Z2" i="2" s="1"/>
  <c r="AO2" i="3"/>
  <c r="AC2" i="3"/>
  <c r="J2" i="2" s="1"/>
  <c r="BE2" i="3"/>
  <c r="N2" i="3"/>
  <c r="Y2" i="2" s="1"/>
  <c r="AP2" i="3"/>
  <c r="G2" i="3"/>
  <c r="AF2" i="2" s="1"/>
  <c r="AI2" i="3"/>
  <c r="O2" i="3"/>
  <c r="X2" i="2" s="1"/>
  <c r="AQ2" i="3"/>
  <c r="O46" i="3"/>
  <c r="V36" i="3"/>
  <c r="T35" i="3"/>
  <c r="AG45" i="3"/>
  <c r="L35" i="3"/>
  <c r="N32" i="3"/>
  <c r="AD46" i="3"/>
  <c r="V28" i="3"/>
  <c r="L39" i="3"/>
  <c r="J28" i="3"/>
  <c r="G29" i="3"/>
  <c r="V15" i="3"/>
  <c r="L29" i="3"/>
  <c r="AE29" i="3"/>
  <c r="L31" i="3"/>
  <c r="I24" i="3"/>
  <c r="H24" i="3"/>
  <c r="AA24" i="3"/>
  <c r="AB42" i="3"/>
  <c r="AD17" i="3"/>
  <c r="X39" i="3"/>
  <c r="H15" i="3"/>
  <c r="AD18" i="3"/>
  <c r="M15" i="3"/>
  <c r="AC36" i="3"/>
  <c r="T38" i="3"/>
  <c r="O32" i="3"/>
  <c r="K45" i="3"/>
  <c r="AA46" i="3"/>
  <c r="AB32" i="3"/>
  <c r="W39" i="3"/>
  <c r="J39" i="3"/>
  <c r="U35" i="3"/>
  <c r="M28" i="3"/>
  <c r="AF25" i="3"/>
  <c r="N36" i="3"/>
  <c r="P28" i="3"/>
  <c r="S22" i="3"/>
  <c r="Z29" i="3"/>
  <c r="AA17" i="3"/>
  <c r="Y35" i="3"/>
  <c r="J21" i="3"/>
  <c r="J36" i="3"/>
  <c r="V14" i="3"/>
  <c r="U15" i="3"/>
  <c r="AF14" i="3"/>
  <c r="P31" i="3"/>
  <c r="Q17" i="3"/>
  <c r="X35" i="3"/>
  <c r="AB38" i="3"/>
  <c r="O38" i="3"/>
  <c r="O45" i="3"/>
  <c r="S32" i="3"/>
  <c r="AG18" i="3"/>
  <c r="R24" i="3"/>
  <c r="K28" i="3"/>
  <c r="X28" i="3"/>
  <c r="AE31" i="3"/>
  <c r="I39" i="3"/>
  <c r="AE32" i="3"/>
  <c r="O22" i="3"/>
  <c r="AF18" i="3"/>
  <c r="AA28" i="3"/>
  <c r="AA39" i="3"/>
  <c r="F28" i="3"/>
  <c r="Z36" i="3"/>
  <c r="X18" i="3"/>
  <c r="G42" i="3"/>
  <c r="AF28" i="3"/>
  <c r="Y18" i="3"/>
  <c r="G14" i="3"/>
  <c r="AF48" i="3"/>
  <c r="I36" i="3"/>
  <c r="X24" i="3"/>
  <c r="AC38" i="3"/>
  <c r="V24" i="3"/>
  <c r="Y32" i="3"/>
  <c r="X17" i="3"/>
  <c r="N46" i="3"/>
  <c r="R46" i="3"/>
  <c r="X42" i="3"/>
  <c r="T48" i="3"/>
  <c r="V39" i="3"/>
  <c r="O31" i="3"/>
  <c r="AE14" i="3"/>
  <c r="AA32" i="3"/>
  <c r="R39" i="3"/>
  <c r="AD21" i="3"/>
  <c r="AB21" i="3"/>
  <c r="AA22" i="3"/>
  <c r="P48" i="3"/>
  <c r="Q46" i="3"/>
  <c r="Z48" i="3"/>
  <c r="V46" i="3"/>
  <c r="G39" i="3"/>
  <c r="N38" i="3"/>
  <c r="R17" i="3"/>
  <c r="P24" i="3"/>
  <c r="J15" i="3"/>
  <c r="V43" i="3"/>
  <c r="F25" i="3"/>
  <c r="N21" i="3"/>
  <c r="U14" i="3"/>
  <c r="Y15" i="3"/>
  <c r="O14" i="3"/>
  <c r="H17" i="3"/>
  <c r="AC17" i="3"/>
  <c r="AD38" i="3"/>
  <c r="Q45" i="3"/>
  <c r="W38" i="3"/>
  <c r="AG29" i="3"/>
  <c r="AA21" i="3"/>
  <c r="AD15" i="3"/>
  <c r="R32" i="3"/>
  <c r="L32" i="3"/>
  <c r="AG25" i="3"/>
  <c r="M22" i="3"/>
  <c r="U21" i="3"/>
  <c r="O42" i="3"/>
  <c r="O39" i="3"/>
  <c r="V38" i="3"/>
  <c r="J22" i="3"/>
  <c r="AE22" i="3"/>
  <c r="T21" i="3"/>
  <c r="M42" i="3"/>
  <c r="Y42" i="3"/>
  <c r="U17" i="3"/>
  <c r="J31" i="3"/>
  <c r="W29" i="3"/>
  <c r="Y38" i="3"/>
  <c r="AB46" i="3"/>
  <c r="R38" i="3"/>
  <c r="V42" i="3"/>
  <c r="AG14" i="3"/>
  <c r="AC42" i="3"/>
  <c r="F18" i="3"/>
  <c r="O48" i="3"/>
  <c r="Q48" i="3"/>
  <c r="F45" i="3"/>
  <c r="P42" i="3"/>
  <c r="O29" i="3"/>
  <c r="F24" i="3"/>
  <c r="K24" i="3"/>
  <c r="AF39" i="3"/>
  <c r="W45" i="3"/>
  <c r="G32" i="3"/>
  <c r="J14" i="3"/>
  <c r="I15" i="3"/>
  <c r="AA45" i="3"/>
  <c r="AC24" i="3"/>
  <c r="M48" i="3"/>
  <c r="AA29" i="3"/>
  <c r="F43" i="3"/>
  <c r="P14" i="3"/>
  <c r="U39" i="3"/>
  <c r="S15" i="3"/>
  <c r="H46" i="3"/>
  <c r="I29" i="3"/>
  <c r="N43" i="3"/>
  <c r="Q21" i="3"/>
  <c r="Z39" i="3"/>
  <c r="K14" i="3"/>
  <c r="H39" i="3"/>
  <c r="G43" i="3"/>
  <c r="V31" i="3"/>
  <c r="AB31" i="3"/>
  <c r="Q39" i="3"/>
  <c r="AE18" i="3"/>
  <c r="I43" i="3"/>
  <c r="Y22" i="3"/>
  <c r="AB14" i="3"/>
  <c r="T46" i="3"/>
  <c r="AG21" i="3"/>
  <c r="AG46" i="3"/>
  <c r="AA43" i="3"/>
  <c r="Y21" i="3"/>
  <c r="AB17" i="3"/>
  <c r="I46" i="3"/>
  <c r="H35" i="3"/>
  <c r="R22" i="3"/>
  <c r="AD29" i="3"/>
  <c r="L21" i="3"/>
  <c r="P17" i="3"/>
  <c r="W22" i="3"/>
  <c r="Z42" i="3"/>
  <c r="AG28" i="3"/>
  <c r="Z46" i="3"/>
  <c r="P35" i="3"/>
  <c r="N18" i="3"/>
  <c r="K29" i="3"/>
  <c r="AC31" i="3"/>
  <c r="O35" i="3"/>
  <c r="S42" i="3"/>
  <c r="Q18" i="3"/>
  <c r="V22" i="3"/>
  <c r="S17" i="3"/>
  <c r="Y14" i="3"/>
  <c r="S36" i="3"/>
  <c r="V48" i="3"/>
  <c r="H45" i="3"/>
  <c r="AB28" i="3"/>
  <c r="F46" i="3"/>
  <c r="U48" i="3"/>
  <c r="W18" i="3"/>
  <c r="AD31" i="3"/>
  <c r="AF31" i="3"/>
  <c r="X31" i="3"/>
  <c r="AB39" i="3"/>
  <c r="M25" i="3"/>
  <c r="Z35" i="3"/>
  <c r="R18" i="3"/>
  <c r="R43" i="3"/>
  <c r="N15" i="3"/>
  <c r="O15" i="3"/>
  <c r="I38" i="3"/>
  <c r="R28" i="3"/>
  <c r="G38" i="3"/>
  <c r="P22" i="3"/>
  <c r="AG48" i="3"/>
  <c r="O36" i="3"/>
  <c r="Q43" i="3"/>
  <c r="H22" i="3"/>
  <c r="F15" i="3"/>
  <c r="P46" i="3"/>
  <c r="H25" i="3"/>
  <c r="AE43" i="3"/>
  <c r="AB22" i="3"/>
  <c r="S21" i="3"/>
  <c r="O28" i="3"/>
  <c r="T31" i="3"/>
  <c r="H32" i="3"/>
  <c r="AD28" i="3"/>
  <c r="W28" i="3"/>
  <c r="Q35" i="3"/>
  <c r="I18" i="3"/>
  <c r="T28" i="3"/>
  <c r="G48" i="3"/>
  <c r="M31" i="3"/>
  <c r="Z14" i="3"/>
  <c r="P39" i="3"/>
  <c r="H36" i="3"/>
  <c r="X25" i="3"/>
  <c r="L25" i="3"/>
  <c r="AB18" i="3"/>
  <c r="J48" i="3"/>
  <c r="AD35" i="3"/>
  <c r="H48" i="3"/>
  <c r="Y17" i="3"/>
  <c r="AG35" i="3"/>
  <c r="U28" i="3"/>
  <c r="AA25" i="3"/>
  <c r="X14" i="3"/>
  <c r="AC35" i="3"/>
  <c r="AC39" i="3"/>
  <c r="K46" i="3"/>
  <c r="AA42" i="3"/>
  <c r="AG32" i="3"/>
  <c r="X48" i="3"/>
  <c r="L36" i="3"/>
  <c r="T25" i="3"/>
  <c r="T17" i="3"/>
  <c r="Q42" i="3"/>
  <c r="O17" i="3"/>
  <c r="V17" i="3"/>
  <c r="K42" i="3"/>
  <c r="S45" i="3"/>
  <c r="F42" i="3"/>
  <c r="L38" i="3"/>
  <c r="Y31" i="3"/>
  <c r="U29" i="3"/>
  <c r="V18" i="3"/>
  <c r="Z24" i="3"/>
  <c r="P36" i="3"/>
  <c r="K15" i="3"/>
  <c r="R21" i="3"/>
  <c r="I45" i="3"/>
  <c r="AB48" i="3"/>
  <c r="AF24" i="3"/>
  <c r="N48" i="3"/>
  <c r="O18" i="3"/>
  <c r="W43" i="3"/>
  <c r="AF21" i="3"/>
  <c r="T36" i="3"/>
  <c r="U45" i="3"/>
  <c r="N14" i="3"/>
  <c r="Z15" i="3"/>
  <c r="S24" i="3"/>
  <c r="P18" i="3"/>
  <c r="J18" i="3"/>
  <c r="H31" i="3"/>
  <c r="Z43" i="3"/>
  <c r="W17" i="3"/>
  <c r="I48" i="3"/>
  <c r="J24" i="3"/>
  <c r="N17" i="3"/>
  <c r="M21" i="3"/>
  <c r="F14" i="3"/>
  <c r="M18" i="3"/>
  <c r="I21" i="3"/>
  <c r="U24" i="3"/>
  <c r="J38" i="3"/>
  <c r="J42" i="3"/>
  <c r="Z38" i="3"/>
  <c r="U38" i="3"/>
  <c r="R35" i="3"/>
  <c r="AD39" i="3"/>
  <c r="K43" i="3"/>
  <c r="AE15" i="3"/>
  <c r="T22" i="3"/>
  <c r="X46" i="3"/>
  <c r="R25" i="3"/>
  <c r="AE35" i="3"/>
  <c r="G15" i="3"/>
  <c r="V21" i="3"/>
  <c r="M46" i="3"/>
  <c r="T32" i="3"/>
  <c r="I35" i="3"/>
  <c r="N31" i="3"/>
  <c r="AE21" i="3"/>
  <c r="Z18" i="3"/>
  <c r="I31" i="3"/>
  <c r="AF17" i="3"/>
  <c r="T24" i="3"/>
  <c r="U36" i="3"/>
  <c r="K21" i="3"/>
  <c r="N22" i="3"/>
  <c r="X21" i="3"/>
  <c r="G46" i="3"/>
  <c r="R45" i="3"/>
  <c r="M17" i="3"/>
  <c r="AG43" i="3"/>
  <c r="F29" i="3"/>
  <c r="AF46" i="3"/>
  <c r="X29" i="3"/>
  <c r="AD32" i="3"/>
  <c r="W25" i="3"/>
  <c r="H42" i="3"/>
  <c r="AA48" i="3"/>
  <c r="G28" i="3"/>
  <c r="H28" i="3"/>
  <c r="G24" i="3"/>
  <c r="Y46" i="3"/>
  <c r="Q38" i="3"/>
  <c r="P25" i="3"/>
  <c r="F38" i="3"/>
  <c r="AC18" i="3"/>
  <c r="I14" i="3"/>
  <c r="K17" i="3"/>
  <c r="K36" i="3"/>
  <c r="AC15" i="3"/>
  <c r="L18" i="3"/>
  <c r="J17" i="3"/>
  <c r="AB29" i="3"/>
  <c r="AG36" i="3"/>
  <c r="AB35" i="3"/>
  <c r="F21" i="3"/>
  <c r="V32" i="3"/>
  <c r="X36" i="3"/>
  <c r="T39" i="3"/>
  <c r="Q15" i="3"/>
  <c r="AC32" i="3"/>
  <c r="Q14" i="3"/>
  <c r="U46" i="3"/>
  <c r="AE46" i="3"/>
  <c r="R48" i="3"/>
  <c r="X45" i="3"/>
  <c r="J46" i="3"/>
  <c r="AE48" i="3"/>
  <c r="AG39" i="3"/>
  <c r="O25" i="3"/>
  <c r="N42" i="3"/>
  <c r="I25" i="3"/>
  <c r="G17" i="3"/>
  <c r="Z31" i="3"/>
  <c r="AE38" i="3"/>
  <c r="K18" i="3"/>
  <c r="AE45" i="3"/>
  <c r="H14" i="3"/>
  <c r="N28" i="3"/>
  <c r="AF36" i="3"/>
  <c r="P45" i="3"/>
  <c r="AC25" i="3"/>
  <c r="G25" i="3"/>
  <c r="V29" i="3"/>
  <c r="Q36" i="3"/>
  <c r="Z32" i="3"/>
  <c r="Y48" i="3"/>
  <c r="J45" i="3"/>
  <c r="AF32" i="3"/>
  <c r="U22" i="3"/>
  <c r="P32" i="3"/>
  <c r="G45" i="3"/>
  <c r="V25" i="3"/>
  <c r="AD45" i="3"/>
  <c r="M29" i="3"/>
  <c r="AD14" i="3"/>
  <c r="AE36" i="3"/>
  <c r="I28" i="3"/>
  <c r="W15" i="3"/>
  <c r="Z25" i="3"/>
  <c r="T14" i="3"/>
  <c r="AD36" i="3"/>
  <c r="F22" i="3"/>
  <c r="T15" i="3"/>
  <c r="T42" i="3"/>
  <c r="N29" i="3"/>
  <c r="AC28" i="3"/>
  <c r="J43" i="3"/>
  <c r="K39" i="3"/>
  <c r="X38" i="3"/>
  <c r="H43" i="3"/>
  <c r="AE42" i="3"/>
  <c r="R15" i="3"/>
  <c r="L42" i="3"/>
  <c r="T45" i="3"/>
  <c r="Z21" i="3"/>
  <c r="S38" i="3"/>
  <c r="AF15" i="3"/>
  <c r="W21" i="3"/>
  <c r="L28" i="3"/>
  <c r="AA15" i="3"/>
  <c r="AE17" i="3"/>
  <c r="N45" i="3"/>
  <c r="S46" i="3"/>
  <c r="AA14" i="3"/>
  <c r="AC43" i="3"/>
  <c r="K48" i="3"/>
  <c r="L46" i="3"/>
  <c r="Q24" i="3"/>
  <c r="R42" i="3"/>
  <c r="N24" i="3"/>
  <c r="AF22" i="3"/>
  <c r="AB43" i="3"/>
  <c r="S31" i="3"/>
  <c r="U18" i="3"/>
  <c r="X32" i="3"/>
  <c r="G18" i="3"/>
  <c r="F31" i="3"/>
  <c r="T29" i="3"/>
  <c r="Q31" i="3"/>
  <c r="L45" i="3"/>
  <c r="AG42" i="3"/>
  <c r="AF45" i="3"/>
  <c r="Z17" i="3"/>
  <c r="AF43" i="3"/>
  <c r="AC14" i="3"/>
  <c r="U42" i="3"/>
  <c r="G21" i="3"/>
  <c r="L48" i="3"/>
  <c r="AG22" i="3"/>
  <c r="L22" i="3"/>
  <c r="F48" i="3"/>
  <c r="G36" i="3"/>
  <c r="Q22" i="3"/>
  <c r="K25" i="3"/>
  <c r="F36" i="3"/>
  <c r="AB45" i="3"/>
  <c r="AA36" i="3"/>
  <c r="S48" i="3"/>
  <c r="T43" i="3"/>
  <c r="AC21" i="3"/>
  <c r="AA31" i="3"/>
  <c r="S43" i="3"/>
  <c r="K22" i="3"/>
  <c r="W24" i="3"/>
  <c r="Y28" i="3"/>
  <c r="AF29" i="3"/>
  <c r="AE28" i="3"/>
  <c r="Y25" i="3"/>
  <c r="AC45" i="3"/>
  <c r="Y24" i="3"/>
  <c r="O43" i="3"/>
  <c r="W35" i="3"/>
  <c r="AG38" i="3"/>
  <c r="AD22" i="3"/>
  <c r="AC48" i="3"/>
  <c r="F17" i="3"/>
  <c r="AD48" i="3"/>
  <c r="U32" i="3"/>
  <c r="Y36" i="3"/>
  <c r="Y29" i="3"/>
  <c r="J29" i="3"/>
  <c r="Z28" i="3"/>
  <c r="V35" i="3"/>
  <c r="G35" i="3"/>
  <c r="M38" i="3"/>
  <c r="I32" i="3"/>
  <c r="J25" i="3"/>
  <c r="I17" i="3"/>
  <c r="AF42" i="3"/>
  <c r="AC22" i="3"/>
  <c r="AG15" i="3"/>
  <c r="AB25" i="3"/>
  <c r="Q28" i="3"/>
  <c r="Q32" i="3"/>
  <c r="R36" i="3"/>
  <c r="AC46" i="3"/>
  <c r="AF38" i="3"/>
  <c r="W31" i="3"/>
  <c r="V45" i="3"/>
  <c r="Z22" i="3"/>
  <c r="AD43" i="3"/>
  <c r="L15" i="3"/>
  <c r="AC29" i="3"/>
  <c r="F39" i="3"/>
  <c r="L24" i="3"/>
  <c r="K32" i="3"/>
  <c r="AD25" i="3"/>
  <c r="U25" i="3"/>
  <c r="AG31" i="3"/>
  <c r="G22" i="3"/>
  <c r="M14" i="3"/>
  <c r="H38" i="3"/>
  <c r="O21" i="3"/>
  <c r="Q25" i="3"/>
  <c r="F35" i="3"/>
  <c r="AA35" i="3"/>
  <c r="W48" i="3"/>
  <c r="J35" i="3"/>
  <c r="M32" i="3"/>
  <c r="R31" i="3"/>
  <c r="S35" i="3"/>
  <c r="W46" i="3"/>
  <c r="W36" i="3"/>
  <c r="P38" i="3"/>
  <c r="S28" i="3"/>
  <c r="N35" i="3"/>
  <c r="P21" i="3"/>
  <c r="M43" i="3"/>
  <c r="R29" i="3"/>
  <c r="U31" i="3"/>
  <c r="I22" i="3"/>
  <c r="AD24" i="3"/>
  <c r="R14" i="3"/>
  <c r="AG24" i="3"/>
  <c r="S25" i="3"/>
  <c r="AG17" i="3"/>
  <c r="M24" i="3"/>
  <c r="L14" i="3"/>
  <c r="X43" i="3"/>
  <c r="AD42" i="3"/>
  <c r="K31" i="3"/>
  <c r="AA38" i="3"/>
  <c r="G31" i="3"/>
  <c r="AB36" i="3"/>
  <c r="S14" i="3"/>
  <c r="AA18" i="3"/>
  <c r="Y43" i="3"/>
  <c r="M39" i="3"/>
  <c r="S18" i="3"/>
  <c r="AF35" i="3"/>
  <c r="AB24" i="3"/>
  <c r="J32" i="3"/>
  <c r="AE24" i="3"/>
  <c r="H21" i="3"/>
  <c r="X22" i="3"/>
  <c r="P15" i="3"/>
  <c r="P43" i="3"/>
  <c r="AE39" i="3"/>
  <c r="H18" i="3"/>
  <c r="W14" i="3"/>
  <c r="L17" i="3"/>
  <c r="P29" i="3"/>
  <c r="K35" i="3"/>
  <c r="Y39" i="3"/>
  <c r="W42" i="3"/>
  <c r="M36" i="3"/>
  <c r="Q29" i="3"/>
  <c r="N39" i="3"/>
  <c r="S29" i="3"/>
  <c r="O24" i="3"/>
  <c r="N25" i="3"/>
  <c r="I42" i="3"/>
  <c r="U43" i="3"/>
  <c r="Y45" i="3"/>
  <c r="Z45" i="3"/>
  <c r="X15" i="3"/>
  <c r="M35" i="3"/>
  <c r="L43" i="3"/>
  <c r="AB15" i="3"/>
  <c r="F32" i="3"/>
  <c r="H29" i="3"/>
  <c r="M45" i="3"/>
  <c r="K38" i="3"/>
  <c r="AE25" i="3"/>
  <c r="W32" i="3"/>
  <c r="T18" i="3"/>
  <c r="S39" i="3"/>
  <c r="H15" i="2" l="1"/>
  <c r="AC48" i="2"/>
  <c r="R15" i="2"/>
  <c r="Y20" i="3"/>
  <c r="N20" i="2" s="1"/>
  <c r="N21" i="2"/>
  <c r="AD43" i="2"/>
  <c r="AC15" i="2"/>
  <c r="X32" i="2"/>
  <c r="K34" i="3"/>
  <c r="AB34" i="2" s="1"/>
  <c r="AB35" i="2"/>
  <c r="Z39" i="2"/>
  <c r="S34" i="3"/>
  <c r="T34" i="2" s="1"/>
  <c r="T35" i="2"/>
  <c r="AE32" i="2"/>
  <c r="AE25" i="2"/>
  <c r="N29" i="2"/>
  <c r="V22" i="2"/>
  <c r="K48" i="2"/>
  <c r="L15" i="2"/>
  <c r="M36" i="2"/>
  <c r="H13" i="3"/>
  <c r="AE13" i="2" s="1"/>
  <c r="AE14" i="2"/>
  <c r="AC17" i="2"/>
  <c r="V41" i="3"/>
  <c r="Q41" i="2" s="1"/>
  <c r="Q42" i="2"/>
  <c r="N31" i="2"/>
  <c r="Q38" i="2"/>
  <c r="AB43" i="2"/>
  <c r="U32" i="2"/>
  <c r="I38" i="2"/>
  <c r="Y36" i="2"/>
  <c r="H18" i="2"/>
  <c r="W24" i="2"/>
  <c r="S38" i="2"/>
  <c r="H25" i="2"/>
  <c r="N43" i="2"/>
  <c r="U31" i="2"/>
  <c r="Q17" i="2"/>
  <c r="G13" i="3"/>
  <c r="AF13" i="2" s="1"/>
  <c r="AF14" i="2"/>
  <c r="N36" i="2"/>
  <c r="AF36" i="2"/>
  <c r="AG15" i="2"/>
  <c r="L27" i="3"/>
  <c r="AA27" i="2" s="1"/>
  <c r="AA28" i="2"/>
  <c r="M18" i="2"/>
  <c r="H45" i="2"/>
  <c r="AA18" i="2"/>
  <c r="F32" i="2"/>
  <c r="X13" i="3"/>
  <c r="O13" i="2" s="1"/>
  <c r="O14" i="2"/>
  <c r="K39" i="2"/>
  <c r="I39" i="2"/>
  <c r="Y13" i="3"/>
  <c r="N13" i="2" s="1"/>
  <c r="N14" i="2"/>
  <c r="AE36" i="2"/>
  <c r="L43" i="2"/>
  <c r="V39" i="2"/>
  <c r="U17" i="2"/>
  <c r="J36" i="2"/>
  <c r="W29" i="2"/>
  <c r="L18" i="2"/>
  <c r="Z32" i="2"/>
  <c r="V32" i="2"/>
  <c r="Y39" i="2"/>
  <c r="R32" i="2"/>
  <c r="AG48" i="2"/>
  <c r="AF27" i="3"/>
  <c r="G27" i="2" s="1"/>
  <c r="G28" i="2"/>
  <c r="W20" i="3"/>
  <c r="P20" i="2" s="1"/>
  <c r="P21" i="2"/>
  <c r="N48" i="2"/>
  <c r="AB18" i="2"/>
  <c r="J15" i="2"/>
  <c r="I34" i="3"/>
  <c r="AD34" i="2" s="1"/>
  <c r="AD35" i="2"/>
  <c r="X15" i="2"/>
  <c r="K41" i="3"/>
  <c r="AB41" i="2" s="1"/>
  <c r="AB42" i="2"/>
  <c r="R34" i="3"/>
  <c r="U34" i="2" s="1"/>
  <c r="U35" i="2"/>
  <c r="X38" i="2"/>
  <c r="V13" i="3"/>
  <c r="Q13" i="2" s="1"/>
  <c r="Q14" i="2"/>
  <c r="G25" i="2"/>
  <c r="K31" i="2"/>
  <c r="Y38" i="2"/>
  <c r="Z15" i="2"/>
  <c r="AA17" i="2"/>
  <c r="S13" i="3"/>
  <c r="T13" i="2" s="1"/>
  <c r="T14" i="2"/>
  <c r="J34" i="3"/>
  <c r="AC34" i="2" s="1"/>
  <c r="AC35" i="2"/>
  <c r="Y22" i="2"/>
  <c r="Y48" i="2"/>
  <c r="I48" i="2"/>
  <c r="AA22" i="2"/>
  <c r="Z36" i="2"/>
  <c r="G15" i="2"/>
  <c r="X36" i="2"/>
  <c r="H38" i="2"/>
  <c r="AB36" i="2"/>
  <c r="G18" i="2"/>
  <c r="AD39" i="2"/>
  <c r="O31" i="2"/>
  <c r="R38" i="2"/>
  <c r="I15" i="2"/>
  <c r="AG27" i="3"/>
  <c r="F27" i="2" s="1"/>
  <c r="F28" i="2"/>
  <c r="U13" i="3"/>
  <c r="R13" i="2" s="1"/>
  <c r="R14" i="2"/>
  <c r="Q31" i="2"/>
  <c r="AF39" i="2"/>
  <c r="I18" i="2"/>
  <c r="W13" i="3"/>
  <c r="P13" i="2" s="1"/>
  <c r="P14" i="2"/>
  <c r="K36" i="2"/>
  <c r="P48" i="2"/>
  <c r="I41" i="3"/>
  <c r="AD41" i="2" s="1"/>
  <c r="AD42" i="2"/>
  <c r="R36" i="2"/>
  <c r="AG17" i="2"/>
  <c r="F22" i="2"/>
  <c r="G32" i="2"/>
  <c r="T38" i="2"/>
  <c r="AB15" i="2"/>
  <c r="M31" i="2"/>
  <c r="AB17" i="2"/>
  <c r="AF38" i="2"/>
  <c r="Y41" i="3"/>
  <c r="N41" i="2" s="1"/>
  <c r="N42" i="2"/>
  <c r="AG34" i="3"/>
  <c r="F34" i="2" s="1"/>
  <c r="F35" i="2"/>
  <c r="M38" i="2"/>
  <c r="T17" i="2"/>
  <c r="AC36" i="2"/>
  <c r="F46" i="2"/>
  <c r="AF43" i="2"/>
  <c r="Q46" i="2"/>
  <c r="AE15" i="2"/>
  <c r="AB38" i="2"/>
  <c r="AF31" i="2"/>
  <c r="AA34" i="3"/>
  <c r="L34" i="2" s="1"/>
  <c r="L35" i="2"/>
  <c r="I45" i="2"/>
  <c r="W32" i="2"/>
  <c r="J48" i="2"/>
  <c r="AA48" i="2"/>
  <c r="S17" i="2"/>
  <c r="Z20" i="3"/>
  <c r="M20" i="2" s="1"/>
  <c r="M21" i="2"/>
  <c r="AA36" i="2"/>
  <c r="AF17" i="2"/>
  <c r="I13" i="3"/>
  <c r="AD13" i="2" s="1"/>
  <c r="AD14" i="2"/>
  <c r="Q18" i="2"/>
  <c r="AA38" i="2"/>
  <c r="X39" i="2"/>
  <c r="J41" i="3"/>
  <c r="AC41" i="2" s="1"/>
  <c r="AC42" i="2"/>
  <c r="K18" i="2"/>
  <c r="Z41" i="3"/>
  <c r="M41" i="2" s="1"/>
  <c r="M42" i="2"/>
  <c r="M27" i="3"/>
  <c r="Z27" i="2" s="1"/>
  <c r="Z28" i="2"/>
  <c r="AE39" i="2"/>
  <c r="M48" i="2"/>
  <c r="O39" i="2"/>
  <c r="AE18" i="2"/>
  <c r="L38" i="2"/>
  <c r="F34" i="3"/>
  <c r="AG34" i="2" s="1"/>
  <c r="AG35" i="2"/>
  <c r="S31" i="2"/>
  <c r="AG45" i="2"/>
  <c r="I22" i="2"/>
  <c r="G20" i="3"/>
  <c r="AF20" i="2" s="1"/>
  <c r="AF21" i="2"/>
  <c r="G17" i="2"/>
  <c r="S45" i="2"/>
  <c r="F27" i="3"/>
  <c r="AG27" i="2" s="1"/>
  <c r="AG28" i="2"/>
  <c r="AD25" i="2"/>
  <c r="J18" i="2"/>
  <c r="U38" i="2"/>
  <c r="Y15" i="2"/>
  <c r="T32" i="2"/>
  <c r="AC38" i="2"/>
  <c r="K38" i="2"/>
  <c r="J17" i="2"/>
  <c r="U34" i="3"/>
  <c r="R34" i="2" s="1"/>
  <c r="R35" i="2"/>
  <c r="K13" i="3"/>
  <c r="AB13" i="2" s="1"/>
  <c r="AB14" i="2"/>
  <c r="V46" i="2"/>
  <c r="I17" i="2"/>
  <c r="H39" i="2"/>
  <c r="AB31" i="2"/>
  <c r="V25" i="2"/>
  <c r="P43" i="2"/>
  <c r="S18" i="2"/>
  <c r="F38" i="2"/>
  <c r="U41" i="3"/>
  <c r="R41" i="2" s="1"/>
  <c r="R42" i="2"/>
  <c r="X48" i="2"/>
  <c r="L41" i="3"/>
  <c r="AA41" i="2" s="1"/>
  <c r="AA42" i="2"/>
  <c r="AC41" i="3"/>
  <c r="J41" i="2" s="1"/>
  <c r="J42" i="2"/>
  <c r="N41" i="3"/>
  <c r="Y41" i="2" s="1"/>
  <c r="Y42" i="2"/>
  <c r="AG38" i="2"/>
  <c r="S32" i="2"/>
  <c r="H31" i="2"/>
  <c r="G31" i="2"/>
  <c r="R24" i="2"/>
  <c r="AA20" i="3"/>
  <c r="L20" i="2" s="1"/>
  <c r="L21" i="2"/>
  <c r="J20" i="3"/>
  <c r="AC20" i="2" s="1"/>
  <c r="AC21" i="2"/>
  <c r="AG20" i="3"/>
  <c r="F20" i="2" s="1"/>
  <c r="F21" i="2"/>
  <c r="M39" i="2"/>
  <c r="W48" i="2"/>
  <c r="AB41" i="3"/>
  <c r="K41" i="2" s="1"/>
  <c r="K42" i="2"/>
  <c r="W43" i="2"/>
  <c r="AD41" i="3"/>
  <c r="I41" i="2" s="1"/>
  <c r="I42" i="2"/>
  <c r="O20" i="3"/>
  <c r="X20" i="2" s="1"/>
  <c r="X21" i="2"/>
  <c r="AG24" i="2"/>
  <c r="F15" i="2"/>
  <c r="W34" i="3"/>
  <c r="P34" i="2" s="1"/>
  <c r="P35" i="2"/>
  <c r="AC13" i="3"/>
  <c r="J13" i="2" s="1"/>
  <c r="J14" i="2"/>
  <c r="P32" i="2"/>
  <c r="U15" i="2"/>
  <c r="M32" i="2"/>
  <c r="X25" i="2"/>
  <c r="W25" i="2"/>
  <c r="R27" i="3"/>
  <c r="U27" i="2" s="1"/>
  <c r="U28" i="2"/>
  <c r="U25" i="2"/>
  <c r="S22" i="2"/>
  <c r="I20" i="3"/>
  <c r="AD20" i="2" s="1"/>
  <c r="AD21" i="2"/>
  <c r="Q22" i="2"/>
  <c r="P22" i="2"/>
  <c r="N20" i="3"/>
  <c r="Y20" i="2" s="1"/>
  <c r="Y21" i="2"/>
  <c r="Q20" i="3"/>
  <c r="V20" i="2" s="1"/>
  <c r="V21" i="2"/>
  <c r="L22" i="2"/>
  <c r="L24" i="2"/>
  <c r="Z45" i="2"/>
  <c r="O43" i="2"/>
  <c r="AE38" i="2"/>
  <c r="G48" i="2"/>
  <c r="V48" i="2"/>
  <c r="X43" i="2"/>
  <c r="G43" i="2"/>
  <c r="AD45" i="2"/>
  <c r="AE41" i="3"/>
  <c r="H41" i="2" s="1"/>
  <c r="H42" i="2"/>
  <c r="AE20" i="3"/>
  <c r="H20" i="2" s="1"/>
  <c r="H21" i="2"/>
  <c r="F39" i="2"/>
  <c r="V38" i="2"/>
  <c r="AA41" i="3"/>
  <c r="L41" i="2" s="1"/>
  <c r="L42" i="2"/>
  <c r="M41" i="3"/>
  <c r="Z41" i="2" s="1"/>
  <c r="Z42" i="2"/>
  <c r="I31" i="2"/>
  <c r="Z18" i="2"/>
  <c r="V18" i="2"/>
  <c r="AE17" i="2"/>
  <c r="AC39" i="2"/>
  <c r="Y43" i="2"/>
  <c r="AB20" i="3"/>
  <c r="K20" i="2" s="1"/>
  <c r="K21" i="2"/>
  <c r="AE24" i="2"/>
  <c r="W15" i="2"/>
  <c r="L13" i="3"/>
  <c r="AA13" i="2" s="1"/>
  <c r="AA14" i="2"/>
  <c r="M13" i="3"/>
  <c r="Z13" i="2" s="1"/>
  <c r="Z14" i="2"/>
  <c r="O27" i="3"/>
  <c r="X27" i="2" s="1"/>
  <c r="X28" i="2"/>
  <c r="S24" i="2"/>
  <c r="N24" i="2"/>
  <c r="M17" i="2"/>
  <c r="AE22" i="2"/>
  <c r="AE43" i="2"/>
  <c r="W36" i="2"/>
  <c r="H48" i="2"/>
  <c r="N46" i="2"/>
  <c r="X22" i="2"/>
  <c r="L25" i="2"/>
  <c r="O41" i="3"/>
  <c r="X41" i="2" s="1"/>
  <c r="X42" i="2"/>
  <c r="F13" i="3"/>
  <c r="AG13" i="2" s="1"/>
  <c r="AG14" i="2"/>
  <c r="X34" i="3"/>
  <c r="O34" i="2" s="1"/>
  <c r="O35" i="2"/>
  <c r="Y34" i="3"/>
  <c r="N34" i="2" s="1"/>
  <c r="N35" i="2"/>
  <c r="Z31" i="2"/>
  <c r="AD29" i="2"/>
  <c r="AD20" i="3"/>
  <c r="I20" i="2" s="1"/>
  <c r="I21" i="2"/>
  <c r="AD24" i="2"/>
  <c r="O22" i="2"/>
  <c r="Z24" i="2"/>
  <c r="AF22" i="2"/>
  <c r="Y25" i="2"/>
  <c r="Q41" i="3"/>
  <c r="V41" i="2" s="1"/>
  <c r="V42" i="2"/>
  <c r="J45" i="2"/>
  <c r="G45" i="2"/>
  <c r="G41" i="3"/>
  <c r="AF41" i="2" s="1"/>
  <c r="AF42" i="2"/>
  <c r="O38" i="2"/>
  <c r="F48" i="2"/>
  <c r="AC46" i="2"/>
  <c r="AF24" i="2"/>
  <c r="K46" i="2"/>
  <c r="U43" i="2"/>
  <c r="N17" i="2"/>
  <c r="M20" i="3"/>
  <c r="Z20" i="2" s="1"/>
  <c r="Z21" i="2"/>
  <c r="F29" i="2"/>
  <c r="W39" i="2"/>
  <c r="S46" i="2"/>
  <c r="AE46" i="2"/>
  <c r="U39" i="2"/>
  <c r="AA31" i="2"/>
  <c r="H20" i="3"/>
  <c r="AE20" i="2" s="1"/>
  <c r="AE21" i="2"/>
  <c r="F17" i="2"/>
  <c r="F31" i="2"/>
  <c r="Q27" i="3"/>
  <c r="V27" i="2" s="1"/>
  <c r="V28" i="2"/>
  <c r="R22" i="2"/>
  <c r="N25" i="2"/>
  <c r="AG41" i="3"/>
  <c r="F41" i="2" s="1"/>
  <c r="F42" i="2"/>
  <c r="W41" i="3"/>
  <c r="P41" i="2" s="1"/>
  <c r="P42" i="2"/>
  <c r="AB39" i="2"/>
  <c r="V36" i="2"/>
  <c r="O45" i="2"/>
  <c r="H27" i="3"/>
  <c r="AE27" i="2" s="1"/>
  <c r="AE28" i="2"/>
  <c r="Z46" i="2"/>
  <c r="F41" i="3"/>
  <c r="AG41" i="2" s="1"/>
  <c r="AG42" i="2"/>
  <c r="P18" i="2"/>
  <c r="Y17" i="2"/>
  <c r="S41" i="3"/>
  <c r="T41" i="2" s="1"/>
  <c r="T42" i="2"/>
  <c r="W17" i="2"/>
  <c r="P39" i="2"/>
  <c r="T15" i="2"/>
  <c r="L32" i="2"/>
  <c r="H29" i="2"/>
  <c r="AE29" i="2"/>
  <c r="T25" i="2"/>
  <c r="R25" i="2"/>
  <c r="Q25" i="2"/>
  <c r="G24" i="2"/>
  <c r="AE27" i="3"/>
  <c r="H27" i="2" s="1"/>
  <c r="H28" i="2"/>
  <c r="AA45" i="2"/>
  <c r="AB48" i="2"/>
  <c r="AC43" i="2"/>
  <c r="L39" i="2"/>
  <c r="U48" i="2"/>
  <c r="G27" i="3"/>
  <c r="AF27" i="2" s="1"/>
  <c r="AF28" i="2"/>
  <c r="AB46" i="2"/>
  <c r="X27" i="3"/>
  <c r="O27" i="2" s="1"/>
  <c r="O28" i="2"/>
  <c r="R48" i="2"/>
  <c r="AC24" i="2"/>
  <c r="AA25" i="2"/>
  <c r="L17" i="2"/>
  <c r="AG25" i="2"/>
  <c r="R39" i="2"/>
  <c r="AE13" i="3"/>
  <c r="H13" i="2" s="1"/>
  <c r="H14" i="2"/>
  <c r="AA29" i="2"/>
  <c r="H24" i="2"/>
  <c r="F24" i="2"/>
  <c r="I25" i="2"/>
  <c r="S20" i="3"/>
  <c r="T20" i="2" s="1"/>
  <c r="T21" i="2"/>
  <c r="N18" i="2"/>
  <c r="G29" i="2"/>
  <c r="V31" i="2"/>
  <c r="S25" i="2"/>
  <c r="AC27" i="3"/>
  <c r="J27" i="2" s="1"/>
  <c r="J28" i="2"/>
  <c r="Q29" i="2"/>
  <c r="H46" i="2"/>
  <c r="L48" i="2"/>
  <c r="AD38" i="2"/>
  <c r="T20" i="3"/>
  <c r="S20" i="2" s="1"/>
  <c r="S21" i="2"/>
  <c r="U20" i="3"/>
  <c r="R20" i="2" s="1"/>
  <c r="R21" i="2"/>
  <c r="AD48" i="2"/>
  <c r="V17" i="2"/>
  <c r="O13" i="3"/>
  <c r="X13" i="2" s="1"/>
  <c r="X14" i="2"/>
  <c r="K32" i="2"/>
  <c r="P13" i="3"/>
  <c r="W13" i="2" s="1"/>
  <c r="W14" i="2"/>
  <c r="X31" i="2"/>
  <c r="Q15" i="2"/>
  <c r="AC32" i="2"/>
  <c r="R13" i="3"/>
  <c r="U13" i="2" s="1"/>
  <c r="U14" i="2"/>
  <c r="AB32" i="2"/>
  <c r="X29" i="2"/>
  <c r="V29" i="2"/>
  <c r="Y27" i="3"/>
  <c r="N27" i="2" s="1"/>
  <c r="N28" i="2"/>
  <c r="S29" i="2"/>
  <c r="AD31" i="2"/>
  <c r="Y29" i="2"/>
  <c r="O48" i="2"/>
  <c r="R46" i="2"/>
  <c r="H41" i="3"/>
  <c r="AE41" i="2" s="1"/>
  <c r="AE42" i="2"/>
  <c r="N38" i="2"/>
  <c r="U18" i="2"/>
  <c r="AG46" i="2"/>
  <c r="P17" i="2"/>
  <c r="P38" i="2"/>
  <c r="L20" i="3"/>
  <c r="AA20" i="2" s="1"/>
  <c r="AA21" i="2"/>
  <c r="AB13" i="3"/>
  <c r="K13" i="2" s="1"/>
  <c r="K14" i="2"/>
  <c r="AG43" i="2"/>
  <c r="Q39" i="2"/>
  <c r="AF29" i="2"/>
  <c r="K24" i="2"/>
  <c r="I24" i="2"/>
  <c r="AA24" i="2"/>
  <c r="X24" i="2"/>
  <c r="W46" i="2"/>
  <c r="P24" i="2"/>
  <c r="AG31" i="2"/>
  <c r="O18" i="2"/>
  <c r="T41" i="3"/>
  <c r="S41" i="2" s="1"/>
  <c r="S42" i="2"/>
  <c r="Y31" i="2"/>
  <c r="Q13" i="3"/>
  <c r="V13" i="2" s="1"/>
  <c r="V14" i="2"/>
  <c r="P25" i="2"/>
  <c r="R29" i="2"/>
  <c r="K27" i="3"/>
  <c r="AB27" i="2" s="1"/>
  <c r="AB28" i="2"/>
  <c r="AE48" i="2"/>
  <c r="M43" i="2"/>
  <c r="O34" i="3"/>
  <c r="X34" i="2" s="1"/>
  <c r="X35" i="2"/>
  <c r="M29" i="2"/>
  <c r="L46" i="2"/>
  <c r="L29" i="2"/>
  <c r="S48" i="2"/>
  <c r="J27" i="3"/>
  <c r="AC27" i="2" s="1"/>
  <c r="AC28" i="2"/>
  <c r="AG32" i="2"/>
  <c r="AD22" i="2"/>
  <c r="AG39" i="2"/>
  <c r="K22" i="2"/>
  <c r="J22" i="2"/>
  <c r="AB22" i="2"/>
  <c r="AF18" i="2"/>
  <c r="N39" i="2"/>
  <c r="S15" i="2"/>
  <c r="AG13" i="3"/>
  <c r="F13" i="2" s="1"/>
  <c r="F14" i="2"/>
  <c r="J32" i="2"/>
  <c r="I32" i="2"/>
  <c r="H32" i="2"/>
  <c r="U27" i="3"/>
  <c r="R27" i="2" s="1"/>
  <c r="R28" i="2"/>
  <c r="AB27" i="3"/>
  <c r="K27" i="2" s="1"/>
  <c r="K28" i="2"/>
  <c r="AE31" i="2"/>
  <c r="J31" i="2"/>
  <c r="I29" i="2"/>
  <c r="AF48" i="2"/>
  <c r="Z48" i="2"/>
  <c r="X41" i="3"/>
  <c r="O41" i="2" s="1"/>
  <c r="O42" i="2"/>
  <c r="AA39" i="2"/>
  <c r="AF34" i="3"/>
  <c r="G34" i="2" s="1"/>
  <c r="G35" i="2"/>
  <c r="R31" i="2"/>
  <c r="J29" i="2"/>
  <c r="W42" i="2"/>
  <c r="P41" i="3"/>
  <c r="W41" i="2" s="1"/>
  <c r="AF41" i="3"/>
  <c r="G41" i="2" s="1"/>
  <c r="G42" i="2"/>
  <c r="T43" i="2"/>
  <c r="O32" i="2"/>
  <c r="AG18" i="2"/>
  <c r="AG22" i="2"/>
  <c r="AF25" i="2"/>
  <c r="V15" i="2"/>
  <c r="O29" i="2"/>
  <c r="V20" i="3"/>
  <c r="Q20" i="2" s="1"/>
  <c r="Q21" i="2"/>
  <c r="Z34" i="3"/>
  <c r="M34" i="2" s="1"/>
  <c r="M35" i="2"/>
  <c r="Z22" i="2"/>
  <c r="AC18" i="2"/>
  <c r="W31" i="2"/>
  <c r="T22" i="2"/>
  <c r="Q43" i="2"/>
  <c r="J24" i="2"/>
  <c r="U46" i="2"/>
  <c r="V27" i="3"/>
  <c r="Q27" i="2" s="1"/>
  <c r="Q28" i="2"/>
  <c r="K15" i="2"/>
  <c r="U29" i="2"/>
  <c r="AA15" i="2"/>
  <c r="T29" i="2"/>
  <c r="AD17" i="2"/>
  <c r="L31" i="2"/>
  <c r="R18" i="2"/>
  <c r="R20" i="3"/>
  <c r="U20" i="2" s="1"/>
  <c r="U21" i="2"/>
  <c r="I36" i="2"/>
  <c r="AA27" i="3"/>
  <c r="L27" i="2" s="1"/>
  <c r="L28" i="2"/>
  <c r="S39" i="2"/>
  <c r="G46" i="2"/>
  <c r="J39" i="2"/>
  <c r="H22" i="2"/>
  <c r="AE45" i="2"/>
  <c r="W18" i="2"/>
  <c r="AB29" i="2"/>
  <c r="U22" i="2"/>
  <c r="AB45" i="2"/>
  <c r="L45" i="2"/>
  <c r="Y46" i="2"/>
  <c r="I46" i="2"/>
  <c r="AA43" i="2"/>
  <c r="Z43" i="2"/>
  <c r="I43" i="2"/>
  <c r="H43" i="2"/>
  <c r="AC25" i="2"/>
  <c r="AC20" i="3"/>
  <c r="J20" i="2" s="1"/>
  <c r="J21" i="2"/>
  <c r="T31" i="2"/>
  <c r="V43" i="2"/>
  <c r="T13" i="3"/>
  <c r="S13" i="2" s="1"/>
  <c r="S14" i="2"/>
  <c r="M24" i="2"/>
  <c r="O36" i="2"/>
  <c r="AG29" i="2"/>
  <c r="P29" i="2"/>
  <c r="U24" i="2"/>
  <c r="X45" i="2"/>
  <c r="T24" i="2"/>
  <c r="V45" i="2"/>
  <c r="N15" i="2"/>
  <c r="T27" i="3"/>
  <c r="S27" i="2" s="1"/>
  <c r="S28" i="2"/>
  <c r="AD15" i="2"/>
  <c r="O17" i="2"/>
  <c r="Y32" i="2"/>
  <c r="T18" i="2"/>
  <c r="P20" i="3"/>
  <c r="W20" i="2" s="1"/>
  <c r="W21" i="2"/>
  <c r="M22" i="2"/>
  <c r="K25" i="2"/>
  <c r="AD32" i="2"/>
  <c r="S43" i="2"/>
  <c r="K43" i="2"/>
  <c r="J43" i="2"/>
  <c r="M25" i="2"/>
  <c r="W22" i="2"/>
  <c r="Q32" i="2"/>
  <c r="F43" i="2"/>
  <c r="AF15" i="2"/>
  <c r="Z25" i="2"/>
  <c r="Q48" i="2"/>
  <c r="M15" i="2"/>
  <c r="Y18" i="2"/>
  <c r="H34" i="3"/>
  <c r="AE34" i="2" s="1"/>
  <c r="AE35" i="2"/>
  <c r="N22" i="2"/>
  <c r="J13" i="3"/>
  <c r="AC13" i="2" s="1"/>
  <c r="AC14" i="2"/>
  <c r="N32" i="2"/>
  <c r="L34" i="3"/>
  <c r="AA34" i="2" s="1"/>
  <c r="AA35" i="2"/>
  <c r="M34" i="3"/>
  <c r="Z34" i="2" s="1"/>
  <c r="Z35" i="2"/>
  <c r="N34" i="3"/>
  <c r="Y34" i="2" s="1"/>
  <c r="Y35" i="2"/>
  <c r="Q45" i="2"/>
  <c r="AF45" i="2"/>
  <c r="Z38" i="2"/>
  <c r="T48" i="2"/>
  <c r="G22" i="2"/>
  <c r="AC45" i="2"/>
  <c r="P15" i="2"/>
  <c r="J25" i="2"/>
  <c r="F20" i="3"/>
  <c r="AG20" i="2" s="1"/>
  <c r="AG21" i="2"/>
  <c r="Z17" i="2"/>
  <c r="AC31" i="2"/>
  <c r="AC22" i="2"/>
  <c r="F25" i="2"/>
  <c r="N13" i="3"/>
  <c r="Y13" i="2" s="1"/>
  <c r="Y14" i="2"/>
  <c r="AF13" i="3"/>
  <c r="G13" i="2" s="1"/>
  <c r="G14" i="2"/>
  <c r="P27" i="3"/>
  <c r="W27" i="2" s="1"/>
  <c r="W28" i="2"/>
  <c r="AD18" i="2"/>
  <c r="AF32" i="2"/>
  <c r="Q24" i="2"/>
  <c r="F45" i="2"/>
  <c r="O15" i="2"/>
  <c r="S27" i="3"/>
  <c r="T27" i="2" s="1"/>
  <c r="T28" i="2"/>
  <c r="P31" i="2"/>
  <c r="K20" i="3"/>
  <c r="AB20" i="2" s="1"/>
  <c r="AB21" i="2"/>
  <c r="G34" i="3"/>
  <c r="AF34" i="2" s="1"/>
  <c r="AF35" i="2"/>
  <c r="L36" i="2"/>
  <c r="Y24" i="2"/>
  <c r="AA13" i="3"/>
  <c r="L13" i="2" s="1"/>
  <c r="L14" i="2"/>
  <c r="I27" i="3"/>
  <c r="AD27" i="2" s="1"/>
  <c r="AD28" i="2"/>
  <c r="W45" i="2"/>
  <c r="AB34" i="3"/>
  <c r="K34" i="2" s="1"/>
  <c r="K35" i="2"/>
  <c r="U45" i="2"/>
  <c r="AC34" i="3"/>
  <c r="J34" i="2" s="1"/>
  <c r="J35" i="2"/>
  <c r="T45" i="2"/>
  <c r="AD34" i="3"/>
  <c r="I34" i="2" s="1"/>
  <c r="I35" i="2"/>
  <c r="R45" i="2"/>
  <c r="P34" i="3"/>
  <c r="W34" i="2" s="1"/>
  <c r="W35" i="2"/>
  <c r="AD46" i="2"/>
  <c r="Q34" i="3"/>
  <c r="V34" i="2" s="1"/>
  <c r="V35" i="2"/>
  <c r="P45" i="2"/>
  <c r="J38" i="2"/>
  <c r="T34" i="3"/>
  <c r="S34" i="2" s="1"/>
  <c r="S35" i="2"/>
  <c r="M45" i="2"/>
  <c r="W38" i="2"/>
  <c r="G38" i="2"/>
  <c r="T39" i="2"/>
  <c r="V34" i="3"/>
  <c r="Q34" i="2" s="1"/>
  <c r="Q35" i="2"/>
  <c r="K45" i="2"/>
  <c r="R41" i="3"/>
  <c r="U41" i="2" s="1"/>
  <c r="U42" i="2"/>
  <c r="T46" i="2"/>
  <c r="H36" i="2"/>
  <c r="G36" i="2"/>
  <c r="F36" i="2"/>
  <c r="AF46" i="2"/>
  <c r="AE34" i="3"/>
  <c r="H34" i="2" s="1"/>
  <c r="H35" i="2"/>
  <c r="O46" i="2"/>
  <c r="T36" i="2"/>
  <c r="S36" i="2"/>
  <c r="M46" i="2"/>
  <c r="K17" i="2"/>
  <c r="W27" i="3"/>
  <c r="P27" i="2" s="1"/>
  <c r="P28" i="2"/>
  <c r="G39" i="2"/>
  <c r="O24" i="2"/>
  <c r="Q36" i="2"/>
  <c r="N45" i="2"/>
  <c r="P36" i="2"/>
  <c r="J46" i="2"/>
  <c r="X17" i="2"/>
  <c r="Z27" i="3"/>
  <c r="M27" i="2" s="1"/>
  <c r="M28" i="2"/>
  <c r="AG36" i="2"/>
  <c r="V24" i="2"/>
  <c r="Y45" i="2"/>
  <c r="AD13" i="3"/>
  <c r="I13" i="2" s="1"/>
  <c r="I14" i="2"/>
  <c r="N27" i="3"/>
  <c r="Y27" i="2" s="1"/>
  <c r="Y28" i="2"/>
  <c r="K29" i="2"/>
  <c r="X20" i="3"/>
  <c r="O20" i="2" s="1"/>
  <c r="O21" i="2"/>
  <c r="R17" i="2"/>
  <c r="F18" i="2"/>
  <c r="AA32" i="2"/>
  <c r="AF20" i="3"/>
  <c r="G20" i="2" s="1"/>
  <c r="G21" i="2"/>
  <c r="O25" i="2"/>
  <c r="Z13" i="3"/>
  <c r="M13" i="2" s="1"/>
  <c r="M14" i="2"/>
  <c r="AD27" i="3"/>
  <c r="I27" i="2" s="1"/>
  <c r="I28" i="2"/>
  <c r="AB24" i="2"/>
  <c r="AD36" i="2"/>
  <c r="X46" i="2"/>
  <c r="R43" i="2"/>
  <c r="P46" i="2"/>
  <c r="U36" i="2"/>
  <c r="X18" i="2"/>
  <c r="AC29" i="2"/>
  <c r="AB25" i="2"/>
  <c r="AA46" i="2"/>
  <c r="H17" i="2"/>
  <c r="Z29" i="2"/>
  <c r="F50" i="3"/>
  <c r="F51" i="3"/>
  <c r="P23" i="3"/>
  <c r="AD11" i="3"/>
  <c r="N47" i="3"/>
  <c r="I40" i="3"/>
  <c r="AD44" i="3"/>
  <c r="P40" i="3"/>
  <c r="AB30" i="3"/>
  <c r="H19" i="3"/>
  <c r="J40" i="3"/>
  <c r="Y11" i="3"/>
  <c r="Z54" i="3"/>
  <c r="U50" i="3"/>
  <c r="R40" i="3"/>
  <c r="G37" i="3"/>
  <c r="AA37" i="3"/>
  <c r="L44" i="3"/>
  <c r="P50" i="3"/>
  <c r="J10" i="3"/>
  <c r="Z16" i="3"/>
  <c r="AC7" i="3"/>
  <c r="AG33" i="3"/>
  <c r="U8" i="3"/>
  <c r="Y50" i="3"/>
  <c r="AE44" i="3"/>
  <c r="K51" i="3"/>
  <c r="L16" i="3"/>
  <c r="X11" i="3"/>
  <c r="Y30" i="3"/>
  <c r="J30" i="3"/>
  <c r="Z23" i="3"/>
  <c r="H8" i="3"/>
  <c r="R26" i="3"/>
  <c r="F44" i="3"/>
  <c r="G51" i="3"/>
  <c r="P54" i="3"/>
  <c r="J19" i="3"/>
  <c r="T49" i="3"/>
  <c r="V37" i="3"/>
  <c r="Z8" i="3"/>
  <c r="AG10" i="3"/>
  <c r="AG50" i="3"/>
  <c r="T51" i="3"/>
  <c r="AC23" i="3"/>
  <c r="L19" i="3"/>
  <c r="M9" i="3"/>
  <c r="I50" i="3"/>
  <c r="AF26" i="3"/>
  <c r="O26" i="3"/>
  <c r="G16" i="3"/>
  <c r="X16" i="3"/>
  <c r="I37" i="3"/>
  <c r="Z40" i="3"/>
  <c r="V50" i="3"/>
  <c r="U23" i="3"/>
  <c r="AE47" i="3"/>
  <c r="R16" i="3"/>
  <c r="M33" i="3"/>
  <c r="AA47" i="3"/>
  <c r="Y8" i="3"/>
  <c r="Q16" i="3"/>
  <c r="Z50" i="3"/>
  <c r="U51" i="3"/>
  <c r="K40" i="3"/>
  <c r="S51" i="3"/>
  <c r="I19" i="3"/>
  <c r="J23" i="3"/>
  <c r="AG37" i="3"/>
  <c r="AF33" i="3"/>
  <c r="AF51" i="3"/>
  <c r="K19" i="3"/>
  <c r="K23" i="3"/>
  <c r="Q47" i="3"/>
  <c r="AD16" i="3"/>
  <c r="J50" i="3"/>
  <c r="AB47" i="3"/>
  <c r="Y37" i="3"/>
  <c r="N19" i="3"/>
  <c r="O51" i="3"/>
  <c r="G7" i="3"/>
  <c r="U26" i="3"/>
  <c r="U16" i="3"/>
  <c r="W33" i="3"/>
  <c r="K44" i="3"/>
  <c r="J8" i="3"/>
  <c r="I51" i="3"/>
  <c r="AF37" i="3"/>
  <c r="W30" i="3"/>
  <c r="Q37" i="3"/>
  <c r="G40" i="3"/>
  <c r="H51" i="3"/>
  <c r="N51" i="3"/>
  <c r="L54" i="3"/>
  <c r="AC50" i="3"/>
  <c r="M16" i="3"/>
  <c r="W9" i="3"/>
  <c r="AG16" i="3"/>
  <c r="V47" i="3"/>
  <c r="S54" i="3"/>
  <c r="G23" i="3"/>
  <c r="W7" i="3"/>
  <c r="J37" i="3"/>
  <c r="T16" i="3"/>
  <c r="T9" i="3"/>
  <c r="AE54" i="3"/>
  <c r="P30" i="3"/>
  <c r="L23" i="3"/>
  <c r="X26" i="3"/>
  <c r="V51" i="3"/>
  <c r="AA10" i="3"/>
  <c r="R23" i="3"/>
  <c r="X30" i="3"/>
  <c r="AB26" i="3"/>
  <c r="L50" i="3"/>
  <c r="P47" i="3"/>
  <c r="X54" i="3"/>
  <c r="AA26" i="3"/>
  <c r="N54" i="3"/>
  <c r="AF47" i="3"/>
  <c r="O23" i="3"/>
  <c r="F16" i="3"/>
  <c r="G19" i="3"/>
  <c r="I33" i="3"/>
  <c r="AF50" i="3"/>
  <c r="V19" i="3"/>
  <c r="U44" i="3"/>
  <c r="AC19" i="3"/>
  <c r="U30" i="3"/>
  <c r="AB9" i="3"/>
  <c r="N44" i="3"/>
  <c r="AG51" i="3"/>
  <c r="R51" i="3"/>
  <c r="AA44" i="3"/>
  <c r="W44" i="3"/>
  <c r="I44" i="3"/>
  <c r="W47" i="3"/>
  <c r="W23" i="3"/>
  <c r="AC54" i="3"/>
  <c r="O30" i="3"/>
  <c r="K30" i="3"/>
  <c r="W40" i="3"/>
  <c r="N50" i="3"/>
  <c r="AD50" i="3"/>
  <c r="J44" i="3"/>
  <c r="Z44" i="3"/>
  <c r="P7" i="3"/>
  <c r="X19" i="3"/>
  <c r="Y54" i="3"/>
  <c r="K33" i="3"/>
  <c r="V40" i="3"/>
  <c r="S47" i="3"/>
  <c r="J47" i="3"/>
  <c r="F37" i="3"/>
  <c r="V30" i="3"/>
  <c r="S40" i="3"/>
  <c r="AE40" i="3"/>
  <c r="L37" i="3"/>
  <c r="O11" i="3"/>
  <c r="F23" i="3"/>
  <c r="K9" i="3"/>
  <c r="F47" i="3"/>
  <c r="AD37" i="3"/>
  <c r="T40" i="3"/>
  <c r="AB23" i="3"/>
  <c r="I8" i="3"/>
  <c r="AG19" i="3"/>
  <c r="S23" i="3"/>
  <c r="R47" i="3"/>
  <c r="G49" i="3"/>
  <c r="M40" i="3"/>
  <c r="S10" i="3"/>
  <c r="AD23" i="3"/>
  <c r="K8" i="3"/>
  <c r="I30" i="3"/>
  <c r="Z30" i="3"/>
  <c r="N37" i="3"/>
  <c r="F33" i="3"/>
  <c r="F26" i="3"/>
  <c r="G33" i="3"/>
  <c r="R37" i="3"/>
  <c r="N23" i="3"/>
  <c r="N7" i="3"/>
  <c r="R10" i="3"/>
  <c r="AC10" i="3"/>
  <c r="Y7" i="3"/>
  <c r="AE23" i="3"/>
  <c r="U37" i="3"/>
  <c r="S26" i="3"/>
  <c r="O7" i="3"/>
  <c r="AA51" i="3"/>
  <c r="N16" i="3"/>
  <c r="R19" i="3"/>
  <c r="S50" i="3"/>
  <c r="N40" i="3"/>
  <c r="V54" i="3"/>
  <c r="M30" i="3"/>
  <c r="R54" i="3"/>
  <c r="W16" i="3"/>
  <c r="AF11" i="3"/>
  <c r="AD47" i="3"/>
  <c r="W19" i="3"/>
  <c r="O54" i="3"/>
  <c r="K37" i="3"/>
  <c r="M19" i="3"/>
  <c r="P33" i="3"/>
  <c r="S33" i="3"/>
  <c r="AB54" i="3"/>
  <c r="I54" i="3"/>
  <c r="W8" i="3"/>
  <c r="H26" i="3"/>
  <c r="Q54" i="3"/>
  <c r="U40" i="3"/>
  <c r="O33" i="3"/>
  <c r="AB16" i="3"/>
  <c r="AC33" i="3"/>
  <c r="M50" i="3"/>
  <c r="Y19" i="3"/>
  <c r="J26" i="3"/>
  <c r="P51" i="3"/>
  <c r="AA54" i="3"/>
  <c r="P16" i="3"/>
  <c r="J16" i="3"/>
  <c r="AB33" i="3"/>
  <c r="N9" i="3"/>
  <c r="K49" i="3"/>
  <c r="R50" i="3"/>
  <c r="AC51" i="3"/>
  <c r="AF8" i="3"/>
  <c r="AC30" i="3"/>
  <c r="O19" i="3"/>
  <c r="AE50" i="3"/>
  <c r="K50" i="3"/>
  <c r="AB49" i="3"/>
  <c r="AE30" i="3"/>
  <c r="Y16" i="3"/>
  <c r="AC44" i="3"/>
  <c r="Z26" i="3"/>
  <c r="I16" i="3"/>
  <c r="AE37" i="3"/>
  <c r="Y23" i="3"/>
  <c r="V33" i="3"/>
  <c r="T19" i="3"/>
  <c r="AG23" i="3"/>
  <c r="Y44" i="3"/>
  <c r="K26" i="3"/>
  <c r="H30" i="3"/>
  <c r="U47" i="3"/>
  <c r="AD33" i="3"/>
  <c r="H33" i="3"/>
  <c r="M44" i="3"/>
  <c r="AD26" i="3"/>
  <c r="O47" i="3"/>
  <c r="I26" i="3"/>
  <c r="AG54" i="3"/>
  <c r="S37" i="3"/>
  <c r="K54" i="3"/>
  <c r="F30" i="3"/>
  <c r="Y47" i="3"/>
  <c r="O40" i="3"/>
  <c r="H54" i="3"/>
  <c r="O50" i="3"/>
  <c r="J9" i="3"/>
  <c r="L51" i="3"/>
  <c r="O44" i="3"/>
  <c r="AB51" i="3"/>
  <c r="L47" i="3"/>
  <c r="F40" i="3"/>
  <c r="H23" i="3"/>
  <c r="V26" i="3"/>
  <c r="AG44" i="3"/>
  <c r="Q19" i="3"/>
  <c r="N33" i="3"/>
  <c r="G54" i="3"/>
  <c r="G44" i="3"/>
  <c r="H40" i="3"/>
  <c r="M47" i="3"/>
  <c r="Q33" i="3"/>
  <c r="G50" i="3"/>
  <c r="W49" i="3"/>
  <c r="AE26" i="3"/>
  <c r="O16" i="3"/>
  <c r="L40" i="3"/>
  <c r="AF30" i="3"/>
  <c r="AE51" i="3"/>
  <c r="AC16" i="3"/>
  <c r="F11" i="3"/>
  <c r="AG40" i="3"/>
  <c r="Z37" i="3"/>
  <c r="AE33" i="3"/>
  <c r="T33" i="3"/>
  <c r="AB44" i="3"/>
  <c r="T23" i="3"/>
  <c r="T30" i="3"/>
  <c r="U33" i="3"/>
  <c r="N30" i="3"/>
  <c r="H37" i="3"/>
  <c r="L30" i="3"/>
  <c r="AC26" i="3"/>
  <c r="AF16" i="3"/>
  <c r="AA50" i="3"/>
  <c r="M23" i="3"/>
  <c r="T26" i="3"/>
  <c r="H50" i="3"/>
  <c r="Q23" i="3"/>
  <c r="T11" i="3"/>
  <c r="AA23" i="3"/>
  <c r="X9" i="3"/>
  <c r="AG30" i="3"/>
  <c r="W37" i="3"/>
  <c r="AD19" i="3"/>
  <c r="X49" i="3"/>
  <c r="H44" i="3"/>
  <c r="R44" i="3"/>
  <c r="AA16" i="3"/>
  <c r="U54" i="3"/>
  <c r="AB37" i="3"/>
  <c r="AF54" i="3"/>
  <c r="Q26" i="3"/>
  <c r="S30" i="3"/>
  <c r="X51" i="3"/>
  <c r="Q40" i="3"/>
  <c r="R30" i="3"/>
  <c r="Q9" i="3"/>
  <c r="J51" i="3"/>
  <c r="Z51" i="3"/>
  <c r="AD51" i="3"/>
  <c r="Z33" i="3"/>
  <c r="AF40" i="3"/>
  <c r="AG47" i="3"/>
  <c r="AF23" i="3"/>
  <c r="Q51" i="3"/>
  <c r="AA33" i="3"/>
  <c r="T44" i="3"/>
  <c r="X44" i="3"/>
  <c r="Q10" i="3"/>
  <c r="AG11" i="3"/>
  <c r="AB50" i="3"/>
  <c r="AF9" i="3"/>
  <c r="AB19" i="3"/>
  <c r="AD9" i="3"/>
  <c r="AC47" i="3"/>
  <c r="S44" i="3"/>
  <c r="L33" i="3"/>
  <c r="N26" i="3"/>
  <c r="Q50" i="3"/>
  <c r="J33" i="3"/>
  <c r="W54" i="3"/>
  <c r="AB11" i="3"/>
  <c r="Z19" i="3"/>
  <c r="M51" i="3"/>
  <c r="T50" i="3"/>
  <c r="F54" i="3"/>
  <c r="H16" i="3"/>
  <c r="W50" i="3"/>
  <c r="AD30" i="3"/>
  <c r="AC37" i="3"/>
  <c r="L26" i="3"/>
  <c r="AA19" i="3"/>
  <c r="Y40" i="3"/>
  <c r="V44" i="3"/>
  <c r="AC40" i="3"/>
  <c r="X8" i="3"/>
  <c r="T10" i="3"/>
  <c r="AC9" i="3"/>
  <c r="T54" i="3"/>
  <c r="Y26" i="3"/>
  <c r="J54" i="3"/>
  <c r="O10" i="3"/>
  <c r="X50" i="3"/>
  <c r="S16" i="3"/>
  <c r="X37" i="3"/>
  <c r="Z7" i="3"/>
  <c r="P19" i="3"/>
  <c r="AD40" i="3"/>
  <c r="I23" i="3"/>
  <c r="K16" i="3"/>
  <c r="S19" i="3"/>
  <c r="U19" i="3"/>
  <c r="M26" i="3"/>
  <c r="P37" i="3"/>
  <c r="I47" i="3"/>
  <c r="F19" i="3"/>
  <c r="T47" i="3"/>
  <c r="P44" i="3"/>
  <c r="P26" i="3"/>
  <c r="AG26" i="3"/>
  <c r="X40" i="3"/>
  <c r="M37" i="3"/>
  <c r="AF19" i="3"/>
  <c r="Q30" i="3"/>
  <c r="G26" i="3"/>
  <c r="X23" i="3"/>
  <c r="W26" i="3"/>
  <c r="AE19" i="3"/>
  <c r="Y51" i="3"/>
  <c r="Q44" i="3"/>
  <c r="H10" i="3"/>
  <c r="AA40" i="3"/>
  <c r="V16" i="3"/>
  <c r="Y33" i="3"/>
  <c r="O37" i="3"/>
  <c r="V23" i="3"/>
  <c r="AD54" i="3"/>
  <c r="H47" i="3"/>
  <c r="X47" i="3"/>
  <c r="T37" i="3"/>
  <c r="AD8" i="3"/>
  <c r="G30" i="3"/>
  <c r="H49" i="3"/>
  <c r="AF44" i="3"/>
  <c r="S7" i="3"/>
  <c r="X33" i="3"/>
  <c r="AA30" i="3"/>
  <c r="J11" i="3"/>
  <c r="M54" i="3"/>
  <c r="AE16" i="3"/>
  <c r="Z47" i="3"/>
  <c r="AB40" i="3"/>
  <c r="W51" i="3"/>
  <c r="R33" i="3"/>
  <c r="G47" i="3"/>
  <c r="K47" i="3"/>
  <c r="AF47" i="2" l="1"/>
  <c r="X37" i="2"/>
  <c r="L51" i="2"/>
  <c r="G9" i="2"/>
  <c r="X10" i="2"/>
  <c r="AA26" i="2"/>
  <c r="O51" i="2"/>
  <c r="L50" i="2"/>
  <c r="G26" i="2"/>
  <c r="AF44" i="2"/>
  <c r="AD26" i="2"/>
  <c r="H23" i="2"/>
  <c r="Y23" i="2"/>
  <c r="AG26" i="2"/>
  <c r="W51" i="2"/>
  <c r="R26" i="2"/>
  <c r="J19" i="2"/>
  <c r="AF19" i="2"/>
  <c r="AB19" i="2"/>
  <c r="AC10" i="2"/>
  <c r="G30" i="2"/>
  <c r="U33" i="2"/>
  <c r="N33" i="2"/>
  <c r="K49" i="2"/>
  <c r="R19" i="2"/>
  <c r="G40" i="2"/>
  <c r="J37" i="2"/>
  <c r="T30" i="2"/>
  <c r="G16" i="2"/>
  <c r="Q47" i="2"/>
  <c r="AF54" i="2"/>
  <c r="X47" i="2"/>
  <c r="J23" i="2"/>
  <c r="P40" i="2"/>
  <c r="AD51" i="2"/>
  <c r="AC26" i="2"/>
  <c r="U51" i="2"/>
  <c r="Y19" i="2"/>
  <c r="F19" i="2"/>
  <c r="AG16" i="2"/>
  <c r="G51" i="2"/>
  <c r="W50" i="2"/>
  <c r="S47" i="2"/>
  <c r="P51" i="2"/>
  <c r="Q16" i="2"/>
  <c r="AD37" i="2"/>
  <c r="K50" i="2"/>
  <c r="AC54" i="2"/>
  <c r="I30" i="2"/>
  <c r="V26" i="2"/>
  <c r="J26" i="2"/>
  <c r="AF50" i="2"/>
  <c r="Y33" i="2"/>
  <c r="I26" i="2"/>
  <c r="Q54" i="2"/>
  <c r="U50" i="2"/>
  <c r="P44" i="2"/>
  <c r="N19" i="2"/>
  <c r="I23" i="2"/>
  <c r="AA16" i="2"/>
  <c r="G50" i="2"/>
  <c r="X23" i="2"/>
  <c r="G33" i="2"/>
  <c r="AA44" i="2"/>
  <c r="AB33" i="2"/>
  <c r="K40" i="2"/>
  <c r="L40" i="2"/>
  <c r="I47" i="2"/>
  <c r="T19" i="2"/>
  <c r="M33" i="2"/>
  <c r="P50" i="2"/>
  <c r="G54" i="2"/>
  <c r="AA30" i="2"/>
  <c r="T26" i="2"/>
  <c r="V19" i="2"/>
  <c r="J50" i="2"/>
  <c r="V37" i="2"/>
  <c r="AC16" i="2"/>
  <c r="Z50" i="2"/>
  <c r="U26" i="2"/>
  <c r="AF49" i="2"/>
  <c r="AD33" i="2"/>
  <c r="G47" i="2"/>
  <c r="L37" i="2"/>
  <c r="N16" i="2"/>
  <c r="M47" i="2"/>
  <c r="AE10" i="2"/>
  <c r="H26" i="2"/>
  <c r="F11" i="2"/>
  <c r="N26" i="2"/>
  <c r="K37" i="2"/>
  <c r="AE37" i="2"/>
  <c r="W7" i="2"/>
  <c r="F44" i="2"/>
  <c r="Z44" i="2"/>
  <c r="I50" i="2"/>
  <c r="AC19" i="2"/>
  <c r="J33" i="2"/>
  <c r="AB51" i="2"/>
  <c r="AD8" i="2"/>
  <c r="Y54" i="2"/>
  <c r="F37" i="2"/>
  <c r="AF37" i="2"/>
  <c r="S9" i="2"/>
  <c r="H16" i="2"/>
  <c r="V44" i="2"/>
  <c r="AD47" i="2"/>
  <c r="AB16" i="2"/>
  <c r="I51" i="2"/>
  <c r="AE16" i="2"/>
  <c r="R54" i="2"/>
  <c r="Y30" i="2"/>
  <c r="X19" i="2"/>
  <c r="Q26" i="2"/>
  <c r="AE33" i="2"/>
  <c r="S51" i="2"/>
  <c r="AB30" i="2"/>
  <c r="AG33" i="2"/>
  <c r="K16" i="2"/>
  <c r="F51" i="2"/>
  <c r="N37" i="2"/>
  <c r="K23" i="2"/>
  <c r="L26" i="2"/>
  <c r="AC23" i="2"/>
  <c r="U40" i="2"/>
  <c r="AA40" i="2"/>
  <c r="Z54" i="2"/>
  <c r="N51" i="2"/>
  <c r="O16" i="2"/>
  <c r="V10" i="2"/>
  <c r="L16" i="2"/>
  <c r="R33" i="2"/>
  <c r="AD50" i="2"/>
  <c r="AE23" i="2"/>
  <c r="I33" i="2"/>
  <c r="N7" i="2"/>
  <c r="AF51" i="2"/>
  <c r="X33" i="2"/>
  <c r="AE8" i="2"/>
  <c r="H44" i="2"/>
  <c r="S40" i="2"/>
  <c r="O54" i="2"/>
  <c r="AD19" i="2"/>
  <c r="R50" i="2"/>
  <c r="J47" i="2"/>
  <c r="AC11" i="2"/>
  <c r="AB50" i="2"/>
  <c r="AD23" i="2"/>
  <c r="M51" i="2"/>
  <c r="AG54" i="2"/>
  <c r="U44" i="2"/>
  <c r="S30" i="2"/>
  <c r="F16" i="2"/>
  <c r="AG40" i="2"/>
  <c r="R47" i="2"/>
  <c r="AA54" i="2"/>
  <c r="AB49" i="2"/>
  <c r="AC8" i="2"/>
  <c r="R40" i="2"/>
  <c r="T10" i="2"/>
  <c r="K47" i="2"/>
  <c r="I37" i="2"/>
  <c r="W47" i="2"/>
  <c r="T51" i="2"/>
  <c r="M54" i="2"/>
  <c r="S16" i="2"/>
  <c r="L30" i="2"/>
  <c r="G11" i="2"/>
  <c r="O44" i="2"/>
  <c r="S54" i="2"/>
  <c r="S50" i="2"/>
  <c r="AE44" i="2"/>
  <c r="S23" i="2"/>
  <c r="V33" i="2"/>
  <c r="AA47" i="2"/>
  <c r="AE30" i="2"/>
  <c r="F50" i="2"/>
  <c r="X30" i="2"/>
  <c r="L44" i="2"/>
  <c r="Y44" i="2"/>
  <c r="R44" i="2"/>
  <c r="AG47" i="2"/>
  <c r="AA50" i="2"/>
  <c r="AB40" i="2"/>
  <c r="N11" i="2"/>
  <c r="AG19" i="2"/>
  <c r="O33" i="2"/>
  <c r="AF16" i="2"/>
  <c r="I40" i="2"/>
  <c r="AC51" i="2"/>
  <c r="Z51" i="2"/>
  <c r="O49" i="2"/>
  <c r="M44" i="2"/>
  <c r="K51" i="2"/>
  <c r="AB26" i="2"/>
  <c r="J10" i="2"/>
  <c r="P30" i="2"/>
  <c r="Y37" i="2"/>
  <c r="V54" i="2"/>
  <c r="M23" i="2"/>
  <c r="U47" i="2"/>
  <c r="K26" i="2"/>
  <c r="R51" i="2"/>
  <c r="AC40" i="2"/>
  <c r="M40" i="2"/>
  <c r="T7" i="2"/>
  <c r="H19" i="2"/>
  <c r="W37" i="2"/>
  <c r="S44" i="2"/>
  <c r="J9" i="2"/>
  <c r="I19" i="2"/>
  <c r="J30" i="2"/>
  <c r="X44" i="2"/>
  <c r="F10" i="2"/>
  <c r="U37" i="2"/>
  <c r="W16" i="2"/>
  <c r="AE26" i="2"/>
  <c r="N50" i="2"/>
  <c r="AB9" i="2"/>
  <c r="O30" i="2"/>
  <c r="M50" i="2"/>
  <c r="N54" i="2"/>
  <c r="G44" i="2"/>
  <c r="P26" i="2"/>
  <c r="X7" i="2"/>
  <c r="W19" i="2"/>
  <c r="V9" i="2"/>
  <c r="P37" i="2"/>
  <c r="K44" i="2"/>
  <c r="Z9" i="2"/>
  <c r="AA51" i="2"/>
  <c r="N44" i="2"/>
  <c r="Y51" i="2"/>
  <c r="Y40" i="2"/>
  <c r="AB44" i="2"/>
  <c r="P8" i="2"/>
  <c r="AF7" i="2"/>
  <c r="AC50" i="2"/>
  <c r="AG23" i="2"/>
  <c r="U23" i="2"/>
  <c r="V16" i="2"/>
  <c r="AE19" i="2"/>
  <c r="AC37" i="2"/>
  <c r="O23" i="2"/>
  <c r="O19" i="2"/>
  <c r="L33" i="2"/>
  <c r="M19" i="2"/>
  <c r="F30" i="2"/>
  <c r="P9" i="2"/>
  <c r="AC9" i="2"/>
  <c r="F23" i="2"/>
  <c r="M8" i="2"/>
  <c r="J54" i="2"/>
  <c r="M30" i="2"/>
  <c r="AD54" i="2"/>
  <c r="AC30" i="2"/>
  <c r="R8" i="2"/>
  <c r="X11" i="2"/>
  <c r="L10" i="2"/>
  <c r="N8" i="2"/>
  <c r="Y16" i="2"/>
  <c r="AE49" i="2"/>
  <c r="AF26" i="2"/>
  <c r="P16" i="2"/>
  <c r="M7" i="2"/>
  <c r="S10" i="2"/>
  <c r="O9" i="2"/>
  <c r="Z47" i="2"/>
  <c r="X50" i="2"/>
  <c r="S19" i="2"/>
  <c r="U10" i="2"/>
  <c r="Y9" i="2"/>
  <c r="T50" i="2"/>
  <c r="K54" i="2"/>
  <c r="K9" i="2"/>
  <c r="I16" i="2"/>
  <c r="AA37" i="2"/>
  <c r="Q51" i="2"/>
  <c r="L47" i="2"/>
  <c r="K30" i="2"/>
  <c r="X16" i="2"/>
  <c r="AF30" i="2"/>
  <c r="V30" i="2"/>
  <c r="H50" i="2"/>
  <c r="V51" i="2"/>
  <c r="U30" i="2"/>
  <c r="K11" i="2"/>
  <c r="L23" i="2"/>
  <c r="S33" i="2"/>
  <c r="Z30" i="2"/>
  <c r="AE54" i="2"/>
  <c r="Q33" i="2"/>
  <c r="Y50" i="2"/>
  <c r="P23" i="2"/>
  <c r="P33" i="2"/>
  <c r="T33" i="2"/>
  <c r="R30" i="2"/>
  <c r="F33" i="2"/>
  <c r="H40" i="2"/>
  <c r="O26" i="2"/>
  <c r="W40" i="2"/>
  <c r="P19" i="2"/>
  <c r="I8" i="2"/>
  <c r="G19" i="2"/>
  <c r="P49" i="2"/>
  <c r="AG51" i="2"/>
  <c r="O8" i="2"/>
  <c r="P54" i="2"/>
  <c r="S11" i="2"/>
  <c r="H33" i="2"/>
  <c r="AC44" i="2"/>
  <c r="X40" i="2"/>
  <c r="N23" i="2"/>
  <c r="AE51" i="2"/>
  <c r="W54" i="2"/>
  <c r="W33" i="2"/>
  <c r="N30" i="2"/>
  <c r="J7" i="2"/>
  <c r="T40" i="2"/>
  <c r="Z33" i="2"/>
  <c r="I44" i="2"/>
  <c r="P7" i="2"/>
  <c r="S37" i="2"/>
  <c r="Z37" i="2"/>
  <c r="T54" i="2"/>
  <c r="G23" i="2"/>
  <c r="J40" i="2"/>
  <c r="AC33" i="2"/>
  <c r="M37" i="2"/>
  <c r="G8" i="2"/>
  <c r="N47" i="2"/>
  <c r="H37" i="2"/>
  <c r="Q37" i="2"/>
  <c r="P47" i="2"/>
  <c r="AD30" i="2"/>
  <c r="Z19" i="2"/>
  <c r="Z40" i="2"/>
  <c r="V47" i="2"/>
  <c r="Q30" i="2"/>
  <c r="AA23" i="2"/>
  <c r="U16" i="2"/>
  <c r="AD40" i="2"/>
  <c r="H30" i="2"/>
  <c r="O47" i="2"/>
  <c r="O40" i="2"/>
  <c r="Z26" i="2"/>
  <c r="O37" i="2"/>
  <c r="V40" i="2"/>
  <c r="V50" i="2"/>
  <c r="V23" i="2"/>
  <c r="F40" i="2"/>
  <c r="R37" i="2"/>
  <c r="AG30" i="2"/>
  <c r="AD16" i="2"/>
  <c r="J51" i="2"/>
  <c r="K33" i="2"/>
  <c r="L54" i="2"/>
  <c r="AB37" i="2"/>
  <c r="T23" i="2"/>
  <c r="AG37" i="2"/>
  <c r="H47" i="2"/>
  <c r="Y47" i="2"/>
  <c r="I9" i="2"/>
  <c r="AE47" i="2"/>
  <c r="F26" i="2"/>
  <c r="U54" i="2"/>
  <c r="T16" i="2"/>
  <c r="Q44" i="2"/>
  <c r="Y26" i="2"/>
  <c r="AE50" i="2"/>
  <c r="AG11" i="2"/>
  <c r="AE40" i="2"/>
  <c r="AB54" i="2"/>
  <c r="AG50" i="2"/>
  <c r="Y7" i="2"/>
  <c r="G37" i="2"/>
  <c r="AG44" i="2"/>
  <c r="X51" i="2"/>
  <c r="M16" i="2"/>
  <c r="AC47" i="2"/>
  <c r="R23" i="2"/>
  <c r="I11" i="2"/>
  <c r="AF23" i="2"/>
  <c r="I54" i="2"/>
  <c r="W26" i="2"/>
  <c r="K19" i="2"/>
  <c r="F47" i="2"/>
  <c r="N40" i="2"/>
  <c r="AA33" i="2"/>
  <c r="S26" i="2"/>
  <c r="J16" i="2"/>
  <c r="AA19" i="2"/>
  <c r="T37" i="2"/>
  <c r="M26" i="2"/>
  <c r="S49" i="2"/>
  <c r="AF33" i="2"/>
  <c r="AB8" i="2"/>
  <c r="O11" i="2"/>
  <c r="AB23" i="2"/>
  <c r="T47" i="2"/>
  <c r="W30" i="2"/>
  <c r="Q50" i="2"/>
  <c r="W23" i="2"/>
  <c r="AB47" i="2"/>
  <c r="Q23" i="2"/>
  <c r="W44" i="2"/>
  <c r="X26" i="2"/>
  <c r="O50" i="2"/>
  <c r="L19" i="2"/>
  <c r="T44" i="2"/>
  <c r="Z23" i="2"/>
  <c r="H51" i="2"/>
  <c r="Z16" i="2"/>
  <c r="F54" i="2"/>
  <c r="J44" i="2"/>
  <c r="AF40" i="2"/>
  <c r="AD44" i="2"/>
  <c r="R16" i="2"/>
  <c r="X54" i="2"/>
  <c r="U19" i="2"/>
  <c r="Q19" i="2"/>
  <c r="Q40" i="2"/>
  <c r="H54" i="2"/>
  <c r="Z9" i="3"/>
  <c r="G10" i="3"/>
  <c r="AB55" i="3"/>
  <c r="G9" i="3"/>
  <c r="O9" i="3"/>
  <c r="U5" i="3"/>
  <c r="F4" i="3"/>
  <c r="AA4" i="3"/>
  <c r="Z10" i="3"/>
  <c r="G8" i="3"/>
  <c r="AA5" i="3"/>
  <c r="Z4" i="3"/>
  <c r="U10" i="3"/>
  <c r="P8" i="3"/>
  <c r="L11" i="3"/>
  <c r="P5" i="3"/>
  <c r="AC4" i="3"/>
  <c r="AB8" i="3"/>
  <c r="L4" i="3"/>
  <c r="AC11" i="3"/>
  <c r="AG3" i="3"/>
  <c r="AA11" i="3"/>
  <c r="V49" i="3"/>
  <c r="K55" i="3"/>
  <c r="Y4" i="3"/>
  <c r="P11" i="3"/>
  <c r="F49" i="3"/>
  <c r="F5" i="3"/>
  <c r="AF7" i="3"/>
  <c r="I7" i="3"/>
  <c r="G55" i="3"/>
  <c r="X55" i="3"/>
  <c r="G3" i="3"/>
  <c r="M55" i="3"/>
  <c r="T3" i="3"/>
  <c r="M5" i="3"/>
  <c r="L55" i="3"/>
  <c r="K5" i="3"/>
  <c r="V5" i="3"/>
  <c r="M3" i="3"/>
  <c r="J5" i="3"/>
  <c r="U49" i="3"/>
  <c r="I49" i="3"/>
  <c r="J7" i="3"/>
  <c r="K3" i="3"/>
  <c r="K11" i="3"/>
  <c r="V8" i="3"/>
  <c r="U4" i="3"/>
  <c r="Z11" i="3"/>
  <c r="AB3" i="3"/>
  <c r="S9" i="3"/>
  <c r="AA9" i="3"/>
  <c r="AE10" i="3"/>
  <c r="Q5" i="3"/>
  <c r="O55" i="3"/>
  <c r="S11" i="3"/>
  <c r="H7" i="3"/>
  <c r="AG8" i="3"/>
  <c r="AB10" i="3"/>
  <c r="H3" i="3"/>
  <c r="X7" i="3"/>
  <c r="W55" i="3"/>
  <c r="S49" i="3"/>
  <c r="I11" i="3"/>
  <c r="S5" i="3"/>
  <c r="I5" i="3"/>
  <c r="AA7" i="3"/>
  <c r="T5" i="3"/>
  <c r="M4" i="3"/>
  <c r="AE5" i="3"/>
  <c r="I10" i="3"/>
  <c r="S4" i="3"/>
  <c r="X10" i="3"/>
  <c r="M11" i="3"/>
  <c r="V10" i="3"/>
  <c r="AD5" i="3"/>
  <c r="P49" i="3"/>
  <c r="U7" i="3"/>
  <c r="G5" i="3"/>
  <c r="K10" i="3"/>
  <c r="AG7" i="3"/>
  <c r="K7" i="3"/>
  <c r="V4" i="3"/>
  <c r="O8" i="3"/>
  <c r="Z3" i="3"/>
  <c r="L3" i="3"/>
  <c r="AG49" i="3"/>
  <c r="Y9" i="3"/>
  <c r="M49" i="3"/>
  <c r="AD3" i="3"/>
  <c r="N49" i="3"/>
  <c r="M10" i="3"/>
  <c r="W11" i="3"/>
  <c r="R8" i="3"/>
  <c r="N11" i="3"/>
  <c r="U9" i="3"/>
  <c r="F10" i="3"/>
  <c r="AD55" i="3"/>
  <c r="I4" i="3"/>
  <c r="T7" i="3"/>
  <c r="P10" i="3"/>
  <c r="P3" i="3"/>
  <c r="V3" i="3"/>
  <c r="P4" i="3"/>
  <c r="H55" i="3"/>
  <c r="O3" i="3"/>
  <c r="Z55" i="3"/>
  <c r="Q49" i="3"/>
  <c r="W3" i="3"/>
  <c r="AF5" i="3"/>
  <c r="G11" i="3"/>
  <c r="AD10" i="3"/>
  <c r="Q55" i="3"/>
  <c r="U3" i="3"/>
  <c r="X4" i="3"/>
  <c r="H11" i="3"/>
  <c r="AC8" i="3"/>
  <c r="AE55" i="3"/>
  <c r="AB4" i="3"/>
  <c r="AE49" i="3"/>
  <c r="L8" i="3"/>
  <c r="N5" i="3"/>
  <c r="K4" i="3"/>
  <c r="L5" i="3"/>
  <c r="J4" i="3"/>
  <c r="Q7" i="3"/>
  <c r="AE3" i="3"/>
  <c r="AE4" i="3"/>
  <c r="I9" i="3"/>
  <c r="Y3" i="3"/>
  <c r="AG9" i="3"/>
  <c r="F7" i="3"/>
  <c r="U11" i="3"/>
  <c r="L9" i="3"/>
  <c r="AC5" i="3"/>
  <c r="X5" i="3"/>
  <c r="AA3" i="3"/>
  <c r="AF10" i="3"/>
  <c r="R11" i="3"/>
  <c r="N3" i="3"/>
  <c r="R9" i="3"/>
  <c r="AA49" i="3"/>
  <c r="F55" i="3"/>
  <c r="F9" i="3"/>
  <c r="Q11" i="3"/>
  <c r="R55" i="3"/>
  <c r="AA55" i="3"/>
  <c r="O5" i="3"/>
  <c r="J55" i="3"/>
  <c r="U55" i="3"/>
  <c r="AD49" i="3"/>
  <c r="H4" i="3"/>
  <c r="S55" i="3"/>
  <c r="H5" i="3"/>
  <c r="M8" i="3"/>
  <c r="Y5" i="3"/>
  <c r="AD4" i="3"/>
  <c r="Q4" i="3"/>
  <c r="M7" i="3"/>
  <c r="J3" i="3"/>
  <c r="R5" i="3"/>
  <c r="P55" i="3"/>
  <c r="AF49" i="3"/>
  <c r="R49" i="3"/>
  <c r="O4" i="3"/>
  <c r="W10" i="3"/>
  <c r="R7" i="3"/>
  <c r="AG5" i="3"/>
  <c r="AD7" i="3"/>
  <c r="AG4" i="3"/>
  <c r="AE11" i="3"/>
  <c r="Q8" i="3"/>
  <c r="W4" i="3"/>
  <c r="AC55" i="3"/>
  <c r="S3" i="3"/>
  <c r="AF4" i="3"/>
  <c r="I3" i="3"/>
  <c r="V9" i="3"/>
  <c r="W5" i="3"/>
  <c r="P9" i="3"/>
  <c r="R4" i="3"/>
  <c r="O49" i="3"/>
  <c r="AE8" i="3"/>
  <c r="V7" i="3"/>
  <c r="Q3" i="3"/>
  <c r="G4" i="3"/>
  <c r="T8" i="3"/>
  <c r="H9" i="3"/>
  <c r="AE9" i="3"/>
  <c r="N55" i="3"/>
  <c r="L7" i="3"/>
  <c r="Z5" i="3"/>
  <c r="AF55" i="3"/>
  <c r="AE7" i="3"/>
  <c r="AC49" i="3"/>
  <c r="T55" i="3"/>
  <c r="AB5" i="3"/>
  <c r="L10" i="3"/>
  <c r="AA8" i="3"/>
  <c r="Y49" i="3"/>
  <c r="R3" i="3"/>
  <c r="AC3" i="3"/>
  <c r="F3" i="3"/>
  <c r="AB7" i="3"/>
  <c r="AF3" i="3"/>
  <c r="L49" i="3"/>
  <c r="Z49" i="3"/>
  <c r="X3" i="3"/>
  <c r="S8" i="3"/>
  <c r="I55" i="3"/>
  <c r="Y10" i="3"/>
  <c r="Y55" i="3"/>
  <c r="V55" i="3"/>
  <c r="N4" i="3"/>
  <c r="T4" i="3"/>
  <c r="F8" i="3"/>
  <c r="N10" i="3"/>
  <c r="J49" i="3"/>
  <c r="N8" i="3"/>
  <c r="AG55" i="3"/>
  <c r="V11" i="3"/>
  <c r="Y10" i="2" l="1"/>
  <c r="AG8" i="2"/>
  <c r="M49" i="2"/>
  <c r="AA10" i="2"/>
  <c r="X49" i="2"/>
  <c r="H11" i="2"/>
  <c r="P10" i="2"/>
  <c r="Z8" i="2"/>
  <c r="V11" i="2"/>
  <c r="U11" i="2"/>
  <c r="G10" i="2"/>
  <c r="AA9" i="2"/>
  <c r="I10" i="2"/>
  <c r="AF11" i="2"/>
  <c r="W10" i="2"/>
  <c r="S7" i="2"/>
  <c r="R9" i="2"/>
  <c r="Z10" i="2"/>
  <c r="N9" i="2"/>
  <c r="F49" i="2"/>
  <c r="X8" i="2"/>
  <c r="F7" i="2"/>
  <c r="R7" i="2"/>
  <c r="W49" i="2"/>
  <c r="Z11" i="2"/>
  <c r="K10" i="2"/>
  <c r="F8" i="2"/>
  <c r="M11" i="2"/>
  <c r="Q8" i="2"/>
  <c r="AB11" i="2"/>
  <c r="R49" i="2"/>
  <c r="W11" i="2"/>
  <c r="AF8" i="2"/>
  <c r="M10" i="2"/>
  <c r="AF10" i="2"/>
  <c r="M9" i="2"/>
  <c r="J49" i="2"/>
  <c r="AA7" i="2"/>
  <c r="P5" i="2"/>
  <c r="W55" i="2"/>
  <c r="P53" i="3"/>
  <c r="W53" i="2" s="1"/>
  <c r="AE5" i="2"/>
  <c r="AD9" i="2"/>
  <c r="AA5" i="2"/>
  <c r="H49" i="2"/>
  <c r="G5" i="2"/>
  <c r="AD4" i="2"/>
  <c r="T11" i="2"/>
  <c r="Q5" i="2"/>
  <c r="X55" i="2"/>
  <c r="O53" i="3"/>
  <c r="X53" i="2" s="1"/>
  <c r="O10" i="2"/>
  <c r="L7" i="2"/>
  <c r="AF3" i="2"/>
  <c r="N4" i="2"/>
  <c r="K8" i="2"/>
  <c r="L3" i="2"/>
  <c r="Q11" i="2"/>
  <c r="S4" i="2"/>
  <c r="AA49" i="2"/>
  <c r="T3" i="2"/>
  <c r="F4" i="2"/>
  <c r="X4" i="2"/>
  <c r="Q9" i="2"/>
  <c r="T55" i="2"/>
  <c r="S53" i="3"/>
  <c r="T53" i="2" s="1"/>
  <c r="H4" i="2"/>
  <c r="R11" i="2"/>
  <c r="K4" i="2"/>
  <c r="P3" i="2"/>
  <c r="H10" i="2"/>
  <c r="Y11" i="2"/>
  <c r="T9" i="2"/>
  <c r="Z5" i="2"/>
  <c r="T4" i="2"/>
  <c r="AD5" i="2"/>
  <c r="O55" i="2"/>
  <c r="X53" i="3"/>
  <c r="O53" i="2" s="1"/>
  <c r="AB55" i="2"/>
  <c r="K53" i="3"/>
  <c r="AB53" i="2" s="1"/>
  <c r="J4" i="2"/>
  <c r="N3" i="2"/>
  <c r="G4" i="2"/>
  <c r="Y4" i="2"/>
  <c r="G3" i="2"/>
  <c r="H7" i="2"/>
  <c r="Y55" i="2"/>
  <c r="N53" i="3"/>
  <c r="Y53" i="2" s="1"/>
  <c r="S8" i="2"/>
  <c r="U5" i="2"/>
  <c r="AE4" i="2"/>
  <c r="AG9" i="2"/>
  <c r="L49" i="2"/>
  <c r="H55" i="2"/>
  <c r="AE53" i="3"/>
  <c r="H53" i="2" s="1"/>
  <c r="V49" i="2"/>
  <c r="AC7" i="2"/>
  <c r="AC5" i="2"/>
  <c r="Y49" i="2"/>
  <c r="I5" i="2"/>
  <c r="AD10" i="2"/>
  <c r="T5" i="2"/>
  <c r="AF55" i="2"/>
  <c r="G53" i="3"/>
  <c r="AF53" i="2" s="1"/>
  <c r="Q49" i="2"/>
  <c r="W5" i="2"/>
  <c r="L4" i="2"/>
  <c r="K5" i="2"/>
  <c r="Q55" i="2"/>
  <c r="V53" i="3"/>
  <c r="Q53" i="2" s="1"/>
  <c r="K7" i="2"/>
  <c r="J55" i="2"/>
  <c r="AC53" i="3"/>
  <c r="J53" i="2" s="1"/>
  <c r="I7" i="2"/>
  <c r="U49" i="2"/>
  <c r="AC3" i="2"/>
  <c r="I49" i="2"/>
  <c r="O5" i="2"/>
  <c r="AB4" i="2"/>
  <c r="J8" i="2"/>
  <c r="M55" i="2"/>
  <c r="Z53" i="3"/>
  <c r="M53" i="2" s="1"/>
  <c r="I55" i="2"/>
  <c r="AD53" i="3"/>
  <c r="I53" i="2" s="1"/>
  <c r="U8" i="2"/>
  <c r="AB5" i="2"/>
  <c r="K3" i="2"/>
  <c r="AB10" i="2"/>
  <c r="AD11" i="2"/>
  <c r="AD7" i="2"/>
  <c r="L11" i="2"/>
  <c r="AA11" i="2"/>
  <c r="AG4" i="2"/>
  <c r="AB3" i="2"/>
  <c r="N55" i="2"/>
  <c r="Y53" i="3"/>
  <c r="N53" i="2" s="1"/>
  <c r="AG3" i="2"/>
  <c r="G55" i="2"/>
  <c r="AF53" i="3"/>
  <c r="G53" i="2" s="1"/>
  <c r="H9" i="2"/>
  <c r="AF4" i="2"/>
  <c r="Z7" i="2"/>
  <c r="R55" i="2"/>
  <c r="U53" i="3"/>
  <c r="R53" i="2" s="1"/>
  <c r="H3" i="2"/>
  <c r="Y5" i="2"/>
  <c r="AE11" i="2"/>
  <c r="X3" i="2"/>
  <c r="AA3" i="2"/>
  <c r="L9" i="2"/>
  <c r="Q4" i="2"/>
  <c r="S3" i="2"/>
  <c r="H5" i="2"/>
  <c r="T49" i="2"/>
  <c r="V5" i="2"/>
  <c r="F3" i="2"/>
  <c r="W8" i="2"/>
  <c r="R5" i="2"/>
  <c r="F55" i="2"/>
  <c r="AG53" i="3"/>
  <c r="F53" i="2" s="1"/>
  <c r="N10" i="2"/>
  <c r="J3" i="2"/>
  <c r="U4" i="2"/>
  <c r="W9" i="2"/>
  <c r="G49" i="2"/>
  <c r="V4" i="2"/>
  <c r="AC55" i="2"/>
  <c r="J53" i="3"/>
  <c r="AC53" i="2" s="1"/>
  <c r="V7" i="2"/>
  <c r="AG7" i="2"/>
  <c r="O4" i="2"/>
  <c r="AE55" i="2"/>
  <c r="H53" i="3"/>
  <c r="AE53" i="2" s="1"/>
  <c r="AD49" i="2"/>
  <c r="M3" i="2"/>
  <c r="I3" i="2"/>
  <c r="AB7" i="2"/>
  <c r="Z4" i="2"/>
  <c r="P55" i="2"/>
  <c r="W53" i="3"/>
  <c r="P53" i="2" s="1"/>
  <c r="G7" i="2"/>
  <c r="J11" i="2"/>
  <c r="R10" i="2"/>
  <c r="X9" i="2"/>
  <c r="Y8" i="2"/>
  <c r="AD55" i="2"/>
  <c r="I53" i="3"/>
  <c r="AD53" i="2" s="1"/>
  <c r="U3" i="2"/>
  <c r="P4" i="2"/>
  <c r="F5" i="2"/>
  <c r="V3" i="2"/>
  <c r="I4" i="2"/>
  <c r="X5" i="2"/>
  <c r="AG55" i="2"/>
  <c r="F53" i="3"/>
  <c r="AG53" i="2" s="1"/>
  <c r="U9" i="2"/>
  <c r="R3" i="2"/>
  <c r="W4" i="2"/>
  <c r="AG10" i="2"/>
  <c r="P11" i="2"/>
  <c r="AA55" i="2"/>
  <c r="L53" i="3"/>
  <c r="AA53" i="2" s="1"/>
  <c r="Q10" i="2"/>
  <c r="AF5" i="2"/>
  <c r="O7" i="2"/>
  <c r="AG5" i="2"/>
  <c r="R4" i="2"/>
  <c r="M4" i="2"/>
  <c r="AF9" i="2"/>
  <c r="S55" i="2"/>
  <c r="T53" i="3"/>
  <c r="S53" i="2" s="1"/>
  <c r="T8" i="2"/>
  <c r="N49" i="2"/>
  <c r="M5" i="2"/>
  <c r="U7" i="2"/>
  <c r="Q7" i="2"/>
  <c r="N5" i="2"/>
  <c r="L55" i="2"/>
  <c r="AA53" i="3"/>
  <c r="L53" i="2" s="1"/>
  <c r="J5" i="2"/>
  <c r="AA8" i="2"/>
  <c r="F9" i="2"/>
  <c r="Q3" i="2"/>
  <c r="AE7" i="2"/>
  <c r="Z3" i="2"/>
  <c r="Z49" i="2"/>
  <c r="Z55" i="2"/>
  <c r="M53" i="3"/>
  <c r="Z53" i="2" s="1"/>
  <c r="S5" i="2"/>
  <c r="AE3" i="2"/>
  <c r="AG49" i="2"/>
  <c r="AA4" i="2"/>
  <c r="L5" i="2"/>
  <c r="K55" i="2"/>
  <c r="AB53" i="3"/>
  <c r="K53" i="2" s="1"/>
  <c r="AC49" i="2"/>
  <c r="O3" i="2"/>
  <c r="L8" i="2"/>
  <c r="V8" i="2"/>
  <c r="AE9" i="2"/>
  <c r="H8" i="2"/>
  <c r="AD3" i="2"/>
  <c r="U55" i="2"/>
  <c r="R53" i="3"/>
  <c r="U53" i="2" s="1"/>
  <c r="AC4" i="2"/>
  <c r="Y3" i="2"/>
  <c r="V55" i="2"/>
  <c r="Q53" i="3"/>
  <c r="V53" i="2" s="1"/>
  <c r="W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<sst xmlns="http://schemas.openxmlformats.org/spreadsheetml/2006/main" count="29" uniqueCount="28">
  <si>
    <t>**IMPORTANT NOTE**</t>
  </si>
  <si>
    <t>This document, the information contained herein and any derived information created therefrom are for the exclusive use of INSTITUTO13 INSTITUTO13 at INSTITUTO DE EMPRESA SLU.</t>
  </si>
  <si>
    <t>~~~~~~~~~~~~~~~~~~~~~~~~~~~~~~~~~~~~~~~~~~~~~~~~~~~~~~~~~~~~~~~~~~~~~~~~~~~~~~~~~~~~~~~~~~~~~~~~~~~~~~~~~~~~~~~~~~~~~~~~~~~~~~~~~~~~~~~~~~~~~~~~~~~~~~~~~~~~~~~~</t>
  </si>
  <si>
    <t>**REFERENCE**</t>
  </si>
  <si>
    <t xml:space="preserve">     Spreadsheets generated from the BI Excel export can be used as reference tables to fuel various models and other sheets on your desktop.</t>
  </si>
  <si>
    <t xml:space="preserve">     Automated model building or 'drag and drop' from the BI export sheet are not supported at this time, but using the BI export</t>
  </si>
  <si>
    <t xml:space="preserve">     as a reference table for use in other spreadsheets is a powerful and convenient tool to help achieve your goals.</t>
  </si>
  <si>
    <t xml:space="preserve">   --The BI Excel export sheet typically contains two data tabs (certain BI modules like those in the 'Monitor' section on BI will only result in a single 'Sheet 1' data tab):</t>
  </si>
  <si>
    <t xml:space="preserve">     1) 'BIData':  This is the fully curated grid that is meant to be a clean, simple, synchronized match to what is seen on the BI dashboard. </t>
  </si>
  <si>
    <t xml:space="preserve">          The grid on the 'BIData' tab can be used as a reference table for use in your models and other downstream spreadsheets.</t>
  </si>
  <si>
    <t xml:space="preserve">     2) 'ReferenceData':  This is the tab where all the raw data is housed and data preparation is done.  There are typically 2 separate grids here:</t>
  </si>
  <si>
    <t xml:space="preserve">          a top curated grid that includes error handling, expressions, etc., and a bottom raw grid that includes any/all live API information for this export. </t>
  </si>
  <si>
    <t xml:space="preserve">          The bottom grid on the ReferenceData tab is where actual API (BDP/BDH) expressions are constructed, so refer to this section if you</t>
  </si>
  <si>
    <t xml:space="preserve">          are interested in seeing/using the underlying API details.</t>
  </si>
  <si>
    <t xml:space="preserve">          Note: In some cases the bottom grid will not exist (in the event that none of the data selected is coming from live API links).</t>
  </si>
  <si>
    <t xml:space="preserve">   --In any grid on either tab, there are common columns:</t>
  </si>
  <si>
    <t xml:space="preserve">     1) Description:  The row label that matches the row label you'd find on BI</t>
  </si>
  <si>
    <t xml:space="preserve">     2) Ticker:  The company/index ticker corresponding to that row (this is the ticker used in the </t>
  </si>
  <si>
    <t xml:space="preserve">          BDP/BDH formula for that row, if applicable)</t>
  </si>
  <si>
    <t xml:space="preserve">     3) Field ID:  The calcrout ID used to structure the BDP/BDH formula for that row (where applicable).</t>
  </si>
  <si>
    <t xml:space="preserve">     4) Field Mnemonic:  The calcrout mnemonic corresponding to the field ID used to structure the BDP/BDH formula for that row (where applicable).</t>
  </si>
  <si>
    <t xml:space="preserve">     5) Data State:  The state of the data within that particular row, including 'Dynamic', 'Static', 'Sum', 'Average', 'Median' or 'Heading'.  If 'Dynamic'</t>
  </si>
  <si>
    <t xml:space="preserve">          then new data will be expected to come to the sheet when it becomes available in the database with no need for another export.</t>
  </si>
  <si>
    <t xml:space="preserve">          If 'Static' then there are no live links in this row and new data will only be procured by running and exporting from BI again.</t>
  </si>
  <si>
    <t xml:space="preserve">          If it's 'Sum', 'Average', 'Median' or 'Expression', then new data may come to the sheet for some expression components, but</t>
  </si>
  <si>
    <t xml:space="preserve">          to ensure the latest data is present in the sheet, BI should be run and exported again.</t>
  </si>
  <si>
    <t>**HELP**</t>
  </si>
  <si>
    <t xml:space="preserve">     If you experience any issues with the BI Excel export process or results, run the BI&lt;GO&gt; function on your Bloomberg terminal, and then hit the &lt;HELP&gt; key twice.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</si>
</sst>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ccyreader">
      <tp t="e">
        <v>#N/A</v>
        <stp/>
        <stp>#track</stp>
        <stp>DBG</stp>
        <stp>BIHITX</stp>
        <stp>1.0</stp>
        <stp>RepeatHit</stp>
        <tr r="A68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"/>
  <sheetViews>
    <sheetView tabSelected="1" workbookViewId="0">
      <selection activeCell="A3" sqref="A3"/>
    </sheetView>
  </sheetViews>
  <sheetFormatPr defaultRowHeight="15" x14ac:dyDescent="0.25"/>
  <cols>
    <col min="1" max="1" width="56.28515625" customWidth="1"/>
    <col min="2" max="2" width="15.85546875" customWidth="1"/>
    <col min="3" max="33" width="9.140625" bestFit="1" customWidth="1"/>
  </cols>
  <sheetData>
    <row r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t="str">
        <f>IFERROR(IF(0=LEN(ReferenceData!$A$2),"",ReferenceData!$A$2),"")</f>
        <v>Description</v>
      </c>
      <c r="B2" t="str">
        <f>IFERROR(IF(0=LEN(ReferenceData!$B$2),"",ReferenceData!$B$2),"")</f>
        <v>Ticker</v>
      </c>
      <c r="C2" t="str">
        <f>IFERROR(IF(0=LEN(ReferenceData!$C$2),"",ReferenceData!$C$2),"")</f>
        <v>Field ID</v>
      </c>
      <c r="D2" t="str">
        <f>IFERROR(IF(0=LEN(ReferenceData!$D$2),"",ReferenceData!$D$2),"")</f>
        <v>Field Mnemonic</v>
      </c>
      <c r="E2" t="str">
        <f>IFERROR(IF(0=LEN(ReferenceData!$E$2),"",ReferenceData!$E$2),"")</f>
        <v>Data State</v>
      </c>
      <c r="F2" t="str">
        <f ca="1">IFERROR(IF(0=LEN(ReferenceData!$AG$2),"",ReferenceData!$AG$2),"")</f>
        <v>2012 S1</v>
      </c>
      <c r="G2" t="str">
        <f ca="1">IFERROR(IF(0=LEN(ReferenceData!$AF$2),"",ReferenceData!$AF$2),"")</f>
        <v>2012 S2</v>
      </c>
      <c r="H2" t="str">
        <f ca="1">IFERROR(IF(0=LEN(ReferenceData!$AE$2),"",ReferenceData!$AE$2),"")</f>
        <v>2013 S1</v>
      </c>
      <c r="I2" t="str">
        <f ca="1">IFERROR(IF(0=LEN(ReferenceData!$AD$2),"",ReferenceData!$AD$2),"")</f>
        <v>2013 S2</v>
      </c>
      <c r="J2" t="str">
        <f ca="1">IFERROR(IF(0=LEN(ReferenceData!$AC$2),"",ReferenceData!$AC$2),"")</f>
        <v>2014 S1</v>
      </c>
      <c r="K2" t="str">
        <f ca="1">IFERROR(IF(0=LEN(ReferenceData!$AB$2),"",ReferenceData!$AB$2),"")</f>
        <v>2014 S2</v>
      </c>
      <c r="L2" t="str">
        <f ca="1">IFERROR(IF(0=LEN(ReferenceData!$AA$2),"",ReferenceData!$AA$2),"")</f>
        <v>2015 S1</v>
      </c>
      <c r="M2" t="str">
        <f ca="1">IFERROR(IF(0=LEN(ReferenceData!$Z$2),"",ReferenceData!$Z$2),"")</f>
        <v>2015 S2</v>
      </c>
      <c r="N2" t="str">
        <f ca="1">IFERROR(IF(0=LEN(ReferenceData!$Y$2),"",ReferenceData!$Y$2),"")</f>
        <v>2016 S1</v>
      </c>
      <c r="O2" t="str">
        <f ca="1">IFERROR(IF(0=LEN(ReferenceData!$X$2),"",ReferenceData!$X$2),"")</f>
        <v>2016 S2</v>
      </c>
      <c r="P2" t="str">
        <f ca="1">IFERROR(IF(0=LEN(ReferenceData!$W$2),"",ReferenceData!$W$2),"")</f>
        <v>2017 S1</v>
      </c>
      <c r="Q2" t="str">
        <f ca="1">IFERROR(IF(0=LEN(ReferenceData!$V$2),"",ReferenceData!$V$2),"")</f>
        <v>2017 S2</v>
      </c>
      <c r="R2" t="str">
        <f ca="1">IFERROR(IF(0=LEN(ReferenceData!$U$2),"",ReferenceData!$U$2),"")</f>
        <v>2018 S1</v>
      </c>
      <c r="S2" t="str">
        <f ca="1">IFERROR(IF(0=LEN(ReferenceData!$T$2),"",ReferenceData!$T$2),"")</f>
        <v>2018 S2</v>
      </c>
      <c r="T2" t="str">
        <f ca="1">IFERROR(IF(0=LEN(ReferenceData!$S$2),"",ReferenceData!$S$2),"")</f>
        <v>2019 S1</v>
      </c>
      <c r="U2" t="str">
        <f ca="1">IFERROR(IF(0=LEN(ReferenceData!$R$2),"",ReferenceData!$R$2),"")</f>
        <v>2019 S2</v>
      </c>
      <c r="V2" t="str">
        <f ca="1">IFERROR(IF(0=LEN(ReferenceData!$Q$2),"",ReferenceData!$Q$2),"")</f>
        <v>2020 S1</v>
      </c>
      <c r="W2" t="str">
        <f ca="1">IFERROR(IF(0=LEN(ReferenceData!$P$2),"",ReferenceData!$P$2),"")</f>
        <v>2020 S2</v>
      </c>
      <c r="X2" t="str">
        <f ca="1">IFERROR(IF(0=LEN(ReferenceData!$O$2),"",ReferenceData!$O$2),"")</f>
        <v>2021 S1</v>
      </c>
      <c r="Y2" t="str">
        <f ca="1">IFERROR(IF(0=LEN(ReferenceData!$N$2),"",ReferenceData!$N$2),"")</f>
        <v>2021 S2</v>
      </c>
      <c r="Z2" t="str">
        <f ca="1">IFERROR(IF(0=LEN(ReferenceData!$M$2),"",ReferenceData!$M$2),"")</f>
        <v>2022 S1</v>
      </c>
      <c r="AA2" t="str">
        <f ca="1">IFERROR(IF(0=LEN(ReferenceData!$L$2),"",ReferenceData!$L$2),"")</f>
        <v>2022 S2</v>
      </c>
      <c r="AB2" t="str">
        <f ca="1">IFERROR(IF(0=LEN(ReferenceData!$K$2),"",ReferenceData!$K$2),"")</f>
        <v>2023 S1</v>
      </c>
      <c r="AC2" t="str">
        <f ca="1">IFERROR(IF(0=LEN(ReferenceData!$J$2),"",ReferenceData!$J$2),"")</f>
        <v>2023 S2</v>
      </c>
      <c r="AD2" t="str">
        <f ca="1">IFERROR(IF(0=LEN(ReferenceData!$I$2),"",ReferenceData!$I$2),"")</f>
        <v>2024 S1</v>
      </c>
      <c r="AE2" t="str">
        <f ca="1">IFERROR(IF(0=LEN(ReferenceData!$H$2),"",ReferenceData!$H$2),"")</f>
        <v>2024 S2</v>
      </c>
      <c r="AF2" t="str">
        <f ca="1">IFERROR(IF(0=LEN(ReferenceData!$G$2),"",ReferenceData!$G$2),"")</f>
        <v>2025 S1</v>
      </c>
      <c r="AG2" t="str">
        <f ca="1">IFERROR(IF(0=LEN(ReferenceData!$F$2),"",ReferenceData!$F$2),"")</f>
        <v>2025 S2</v>
      </c>
    </row>
    <row r="3" spans="1:33" x14ac:dyDescent="0.25">
      <c r="A3" t="str">
        <f>IFERROR(IF(0=LEN(ReferenceData!$A$3),"",ReferenceData!$A$3),"")</f>
        <v>ETFs as % Of Total Fund Assets (MF &amp; ETF)</v>
      </c>
      <c r="B3" t="str">
        <f>IFERROR(IF(0=LEN(ReferenceData!$B$3),"",ReferenceData!$B$3),"")</f>
        <v/>
      </c>
      <c r="C3" t="str">
        <f>IFERROR(IF(0=LEN(ReferenceData!$C$3),"",ReferenceData!$C$3),"")</f>
        <v/>
      </c>
      <c r="D3" t="str">
        <f>IFERROR(IF(0=LEN(ReferenceData!$D$3),"",ReferenceData!$D$3),"")</f>
        <v/>
      </c>
      <c r="E3" t="str">
        <f>IFERROR(IF(0=LEN(ReferenceData!$E$3),"",ReferenceData!$E$3),"")</f>
        <v>Expression</v>
      </c>
      <c r="F3">
        <f ca="1">IFERROR(IF(0=LEN(ReferenceData!$AG$3),"",ReferenceData!$AG$3),"")</f>
        <v>13.217836289999999</v>
      </c>
      <c r="G3">
        <f ca="1">IFERROR(IF(0=LEN(ReferenceData!$AF$3),"",ReferenceData!$AF$3),"")</f>
        <v>13.60966064</v>
      </c>
      <c r="H3">
        <f ca="1">IFERROR(IF(0=LEN(ReferenceData!$AE$3),"",ReferenceData!$AE$3),"")</f>
        <v>13.716416949999999</v>
      </c>
      <c r="I3">
        <f ca="1">IFERROR(IF(0=LEN(ReferenceData!$AD$3),"",ReferenceData!$AD$3),"")</f>
        <v>14.260533110000001</v>
      </c>
      <c r="J3">
        <f ca="1">IFERROR(IF(0=LEN(ReferenceData!$AC$3),"",ReferenceData!$AC$3),"")</f>
        <v>14.37074698</v>
      </c>
      <c r="K3">
        <f ca="1">IFERROR(IF(0=LEN(ReferenceData!$AB$3),"",ReferenceData!$AB$3),"")</f>
        <v>15.224923329999999</v>
      </c>
      <c r="L3">
        <f ca="1">IFERROR(IF(0=LEN(ReferenceData!$AA$3),"",ReferenceData!$AA$3),"")</f>
        <v>15.78542449</v>
      </c>
      <c r="M3">
        <f ca="1">IFERROR(IF(0=LEN(ReferenceData!$Z$3),"",ReferenceData!$Z$3),"")</f>
        <v>16.102874809999999</v>
      </c>
      <c r="N3">
        <f ca="1">IFERROR(IF(0=LEN(ReferenceData!$Y$3),"",ReferenceData!$Y$3),"")</f>
        <v>16.673301240000001</v>
      </c>
      <c r="O3">
        <f ca="1">IFERROR(IF(0=LEN(ReferenceData!$X$3),"",ReferenceData!$X$3),"")</f>
        <v>18.051021630000001</v>
      </c>
      <c r="P3">
        <f ca="1">IFERROR(IF(0=LEN(ReferenceData!$W$3),"",ReferenceData!$W$3),"")</f>
        <v>18.871803509999999</v>
      </c>
      <c r="Q3">
        <f ca="1">IFERROR(IF(0=LEN(ReferenceData!$V$3),"",ReferenceData!$V$3),"")</f>
        <v>20.09651963</v>
      </c>
      <c r="R3">
        <f ca="1">IFERROR(IF(0=LEN(ReferenceData!$U$3),"",ReferenceData!$U$3),"")</f>
        <v>20.237704829999998</v>
      </c>
      <c r="S3">
        <f ca="1">IFERROR(IF(0=LEN(ReferenceData!$T$3),"",ReferenceData!$T$3),"")</f>
        <v>21.1490054</v>
      </c>
      <c r="T3">
        <f ca="1">IFERROR(IF(0=LEN(ReferenceData!$S$3),"",ReferenceData!$S$3),"")</f>
        <v>21.635464649999999</v>
      </c>
      <c r="U3">
        <f ca="1">IFERROR(IF(0=LEN(ReferenceData!$R$3),"",ReferenceData!$R$3),"")</f>
        <v>22.093074130000002</v>
      </c>
      <c r="V3">
        <f ca="1">IFERROR(IF(0=LEN(ReferenceData!$Q$3),"",ReferenceData!$Q$3),"")</f>
        <v>22.528549089999999</v>
      </c>
      <c r="W3">
        <f ca="1">IFERROR(IF(0=LEN(ReferenceData!$P$3),"",ReferenceData!$P$3),"")</f>
        <v>23.858693559999999</v>
      </c>
      <c r="X3">
        <f ca="1">IFERROR(IF(0=LEN(ReferenceData!$O$3),"",ReferenceData!$O$3),"")</f>
        <v>25.120084089999999</v>
      </c>
      <c r="Y3">
        <f ca="1">IFERROR(IF(0=LEN(ReferenceData!$N$3),"",ReferenceData!$N$3),"")</f>
        <v>26.221668130000001</v>
      </c>
      <c r="Z3">
        <f ca="1">IFERROR(IF(0=LEN(ReferenceData!$M$3),"",ReferenceData!$M$3),"")</f>
        <v>27.625431899999999</v>
      </c>
      <c r="AA3">
        <f ca="1">IFERROR(IF(0=LEN(ReferenceData!$L$3),"",ReferenceData!$L$3),"")</f>
        <v>29.068670529999999</v>
      </c>
      <c r="AB3">
        <f ca="1">IFERROR(IF(0=LEN(ReferenceData!$K$3),"",ReferenceData!$K$3),"")</f>
        <v>29.82703351</v>
      </c>
      <c r="AC3">
        <f ca="1">IFERROR(IF(0=LEN(ReferenceData!$J$3),"",ReferenceData!$J$3),"")</f>
        <v>31.031894149999999</v>
      </c>
      <c r="AD3">
        <f ca="1">IFERROR(IF(0=LEN(ReferenceData!$I$3),"",ReferenceData!$I$3),"")</f>
        <v>32.208543429999999</v>
      </c>
      <c r="AE3">
        <f ca="1">IFERROR(IF(0=LEN(ReferenceData!$H$3),"",ReferenceData!$H$3),"")</f>
        <v>34.105674839999999</v>
      </c>
      <c r="AF3">
        <f ca="1">IFERROR(IF(0=LEN(ReferenceData!$G$3),"",ReferenceData!$G$3),"")</f>
        <v>35.358067509999998</v>
      </c>
      <c r="AG3">
        <f ca="1">IFERROR(IF(0=LEN(ReferenceData!$F$3),"",ReferenceData!$F$3),"")</f>
        <v>37.078441599999998</v>
      </c>
    </row>
    <row r="4" spans="1:33" x14ac:dyDescent="0.25">
      <c r="A4" t="str">
        <f>IFERROR(IF(0=LEN(ReferenceData!$A$4),"",ReferenceData!$A$4),"")</f>
        <v>ETFs as % Of Equity Fund Assets (MF &amp; ETF)</v>
      </c>
      <c r="B4" t="str">
        <f>IFERROR(IF(0=LEN(ReferenceData!$B$4),"",ReferenceData!$B$4),"")</f>
        <v/>
      </c>
      <c r="C4" t="str">
        <f>IFERROR(IF(0=LEN(ReferenceData!$C$4),"",ReferenceData!$C$4),"")</f>
        <v/>
      </c>
      <c r="D4" t="str">
        <f>IFERROR(IF(0=LEN(ReferenceData!$D$4),"",ReferenceData!$D$4),"")</f>
        <v/>
      </c>
      <c r="E4" t="str">
        <f>IFERROR(IF(0=LEN(ReferenceData!$E$4),"",ReferenceData!$E$4),"")</f>
        <v>Expression</v>
      </c>
      <c r="F4">
        <f ca="1">IFERROR(IF(0=LEN(ReferenceData!$AG$4),"",ReferenceData!$AG$4),"")</f>
        <v>16.25883189</v>
      </c>
      <c r="G4">
        <f ca="1">IFERROR(IF(0=LEN(ReferenceData!$AF$4),"",ReferenceData!$AF$4),"")</f>
        <v>16.974728580000001</v>
      </c>
      <c r="H4">
        <f ca="1">IFERROR(IF(0=LEN(ReferenceData!$AE$4),"",ReferenceData!$AE$4),"")</f>
        <v>17.331618599999999</v>
      </c>
      <c r="I4">
        <f ca="1">IFERROR(IF(0=LEN(ReferenceData!$AD$4),"",ReferenceData!$AD$4),"")</f>
        <v>17.835893110000001</v>
      </c>
      <c r="J4">
        <f ca="1">IFERROR(IF(0=LEN(ReferenceData!$AC$4),"",ReferenceData!$AC$4),"")</f>
        <v>17.945907129999998</v>
      </c>
      <c r="K4">
        <f ca="1">IFERROR(IF(0=LEN(ReferenceData!$AB$4),"",ReferenceData!$AB$4),"")</f>
        <v>18.957733999999999</v>
      </c>
      <c r="L4">
        <f ca="1">IFERROR(IF(0=LEN(ReferenceData!$AA$4),"",ReferenceData!$AA$4),"")</f>
        <v>19.55015264</v>
      </c>
      <c r="M4">
        <f ca="1">IFERROR(IF(0=LEN(ReferenceData!$Z$4),"",ReferenceData!$Z$4),"")</f>
        <v>19.886805200000001</v>
      </c>
      <c r="N4">
        <f ca="1">IFERROR(IF(0=LEN(ReferenceData!$Y$4),"",ReferenceData!$Y$4),"")</f>
        <v>20.249502119999999</v>
      </c>
      <c r="O4">
        <f ca="1">IFERROR(IF(0=LEN(ReferenceData!$X$4),"",ReferenceData!$X$4),"")</f>
        <v>22.073154160000001</v>
      </c>
      <c r="P4">
        <f ca="1">IFERROR(IF(0=LEN(ReferenceData!$W$4),"",ReferenceData!$W$4),"")</f>
        <v>22.733653230000002</v>
      </c>
      <c r="Q4">
        <f ca="1">IFERROR(IF(0=LEN(ReferenceData!$V$4),"",ReferenceData!$V$4),"")</f>
        <v>24.075207030000001</v>
      </c>
      <c r="R4">
        <f ca="1">IFERROR(IF(0=LEN(ReferenceData!$U$4),"",ReferenceData!$U$4),"")</f>
        <v>24.11340045</v>
      </c>
      <c r="S4">
        <f ca="1">IFERROR(IF(0=LEN(ReferenceData!$T$4),"",ReferenceData!$T$4),"")</f>
        <v>25.357024379999999</v>
      </c>
      <c r="T4">
        <f ca="1">IFERROR(IF(0=LEN(ReferenceData!$S$4),"",ReferenceData!$S$4),"")</f>
        <v>25.510192589999999</v>
      </c>
      <c r="U4">
        <f ca="1">IFERROR(IF(0=LEN(ReferenceData!$R$4),"",ReferenceData!$R$4),"")</f>
        <v>25.914773530000002</v>
      </c>
      <c r="V4">
        <f ca="1">IFERROR(IF(0=LEN(ReferenceData!$Q$4),"",ReferenceData!$Q$4),"")</f>
        <v>25.835629059999999</v>
      </c>
      <c r="W4">
        <f ca="1">IFERROR(IF(0=LEN(ReferenceData!$P$4),"",ReferenceData!$P$4),"")</f>
        <v>27.33558717</v>
      </c>
      <c r="X4">
        <f ca="1">IFERROR(IF(0=LEN(ReferenceData!$O$4),"",ReferenceData!$O$4),"")</f>
        <v>28.927923539999998</v>
      </c>
      <c r="Y4">
        <f ca="1">IFERROR(IF(0=LEN(ReferenceData!$N$4),"",ReferenceData!$N$4),"")</f>
        <v>30.197149329999998</v>
      </c>
      <c r="Z4">
        <f ca="1">IFERROR(IF(0=LEN(ReferenceData!$M$4),"",ReferenceData!$M$4),"")</f>
        <v>31.845603279999999</v>
      </c>
      <c r="AA4">
        <f ca="1">IFERROR(IF(0=LEN(ReferenceData!$L$4),"",ReferenceData!$L$4),"")</f>
        <v>32.998991660000002</v>
      </c>
      <c r="AB4">
        <f ca="1">IFERROR(IF(0=LEN(ReferenceData!$K$4),"",ReferenceData!$K$4),"")</f>
        <v>33.307886539999998</v>
      </c>
      <c r="AC4">
        <f ca="1">IFERROR(IF(0=LEN(ReferenceData!$J$4),"",ReferenceData!$J$4),"")</f>
        <v>34.533581660000003</v>
      </c>
      <c r="AD4">
        <f ca="1">IFERROR(IF(0=LEN(ReferenceData!$I$4),"",ReferenceData!$I$4),"")</f>
        <v>35.565674880000003</v>
      </c>
      <c r="AE4">
        <f ca="1">IFERROR(IF(0=LEN(ReferenceData!$H$4),"",ReferenceData!$H$4),"")</f>
        <v>37.546943560000003</v>
      </c>
      <c r="AF4">
        <f ca="1">IFERROR(IF(0=LEN(ReferenceData!$G$4),"",ReferenceData!$G$4),"")</f>
        <v>38.517793050000002</v>
      </c>
      <c r="AG4">
        <f ca="1">IFERROR(IF(0=LEN(ReferenceData!$F$4),"",ReferenceData!$F$4),"")</f>
        <v>40.405625329999999</v>
      </c>
    </row>
    <row r="5" spans="1:33" x14ac:dyDescent="0.25">
      <c r="A5" t="str">
        <f>IFERROR(IF(0=LEN(ReferenceData!$A$5),"",ReferenceData!$A$5),"")</f>
        <v>ETFs as % Of Bond Fund Assets (MF &amp; ETF)</v>
      </c>
      <c r="B5" t="str">
        <f>IFERROR(IF(0=LEN(ReferenceData!$B$5),"",ReferenceData!$B$5),"")</f>
        <v/>
      </c>
      <c r="C5" t="str">
        <f>IFERROR(IF(0=LEN(ReferenceData!$C$5),"",ReferenceData!$C$5),"")</f>
        <v/>
      </c>
      <c r="D5" t="str">
        <f>IFERROR(IF(0=LEN(ReferenceData!$D$5),"",ReferenceData!$D$5),"")</f>
        <v/>
      </c>
      <c r="E5" t="str">
        <f>IFERROR(IF(0=LEN(ReferenceData!$E$5),"",ReferenceData!$E$5),"")</f>
        <v>Expression</v>
      </c>
      <c r="F5">
        <f ca="1">IFERROR(IF(0=LEN(ReferenceData!$AG$5),"",ReferenceData!$AG$5),"")</f>
        <v>8.192582625</v>
      </c>
      <c r="G5">
        <f ca="1">IFERROR(IF(0=LEN(ReferenceData!$AF$5),"",ReferenceData!$AF$5),"")</f>
        <v>7.9230559889999999</v>
      </c>
      <c r="H5">
        <f ca="1">IFERROR(IF(0=LEN(ReferenceData!$AE$5),"",ReferenceData!$AE$5),"")</f>
        <v>8.2138023530000002</v>
      </c>
      <c r="I5">
        <f ca="1">IFERROR(IF(0=LEN(ReferenceData!$AD$5),"",ReferenceData!$AD$5),"")</f>
        <v>8.2122218900000004</v>
      </c>
      <c r="J5">
        <f ca="1">IFERROR(IF(0=LEN(ReferenceData!$AC$5),"",ReferenceData!$AC$5),"")</f>
        <v>8.4660436019999992</v>
      </c>
      <c r="K5">
        <f ca="1">IFERROR(IF(0=LEN(ReferenceData!$AB$5),"",ReferenceData!$AB$5),"")</f>
        <v>9.2535089300000006</v>
      </c>
      <c r="L5">
        <f ca="1">IFERROR(IF(0=LEN(ReferenceData!$AA$5),"",ReferenceData!$AA$5),"")</f>
        <v>9.6919104800000007</v>
      </c>
      <c r="M5">
        <f ca="1">IFERROR(IF(0=LEN(ReferenceData!$Z$5),"",ReferenceData!$Z$5),"")</f>
        <v>10.62274807</v>
      </c>
      <c r="N5">
        <f ca="1">IFERROR(IF(0=LEN(ReferenceData!$Y$5),"",ReferenceData!$Y$5),"")</f>
        <v>11.583220020000001</v>
      </c>
      <c r="O5">
        <f ca="1">IFERROR(IF(0=LEN(ReferenceData!$X$5),"",ReferenceData!$X$5),"")</f>
        <v>12.21694181</v>
      </c>
      <c r="P5">
        <f ca="1">IFERROR(IF(0=LEN(ReferenceData!$W$5),"",ReferenceData!$W$5),"")</f>
        <v>13.180263180000001</v>
      </c>
      <c r="Q5">
        <f ca="1">IFERROR(IF(0=LEN(ReferenceData!$V$5),"",ReferenceData!$V$5),"")</f>
        <v>13.82442784</v>
      </c>
      <c r="R5">
        <f ca="1">IFERROR(IF(0=LEN(ReferenceData!$U$5),"",ReferenceData!$U$5),"")</f>
        <v>14.188844789999999</v>
      </c>
      <c r="S5">
        <f ca="1">IFERROR(IF(0=LEN(ReferenceData!$T$5),"",ReferenceData!$T$5),"")</f>
        <v>15.25909257</v>
      </c>
      <c r="T5">
        <f ca="1">IFERROR(IF(0=LEN(ReferenceData!$S$5),"",ReferenceData!$S$5),"")</f>
        <v>16.049755130000001</v>
      </c>
      <c r="U5">
        <f ca="1">IFERROR(IF(0=LEN(ReferenceData!$R$5),"",ReferenceData!$R$5),"")</f>
        <v>16.415011119999999</v>
      </c>
      <c r="V5">
        <f ca="1">IFERROR(IF(0=LEN(ReferenceData!$Q$5),"",ReferenceData!$Q$5),"")</f>
        <v>17.96908019</v>
      </c>
      <c r="W5">
        <f ca="1">IFERROR(IF(0=LEN(ReferenceData!$P$5),"",ReferenceData!$P$5),"")</f>
        <v>18.192208579999999</v>
      </c>
      <c r="X5">
        <f ca="1">IFERROR(IF(0=LEN(ReferenceData!$O$5),"",ReferenceData!$O$5),"")</f>
        <v>18.516782240000001</v>
      </c>
      <c r="Y5">
        <f ca="1">IFERROR(IF(0=LEN(ReferenceData!$N$5),"",ReferenceData!$N$5),"")</f>
        <v>19.089848830000001</v>
      </c>
      <c r="Z5">
        <f ca="1">IFERROR(IF(0=LEN(ReferenceData!$M$5),"",ReferenceData!$M$5),"")</f>
        <v>20.985800019999999</v>
      </c>
      <c r="AA5">
        <f ca="1">IFERROR(IF(0=LEN(ReferenceData!$L$5),"",ReferenceData!$L$5),"")</f>
        <v>23.27532647</v>
      </c>
      <c r="AB5">
        <f ca="1">IFERROR(IF(0=LEN(ReferenceData!$K$5),"",ReferenceData!$K$5),"")</f>
        <v>24.507879460000002</v>
      </c>
      <c r="AC5">
        <f ca="1">IFERROR(IF(0=LEN(ReferenceData!$J$5),"",ReferenceData!$J$5),"")</f>
        <v>25.46951911</v>
      </c>
      <c r="AD5">
        <f ca="1">IFERROR(IF(0=LEN(ReferenceData!$I$5),"",ReferenceData!$I$5),"")</f>
        <v>26.128748080000001</v>
      </c>
      <c r="AE5">
        <f ca="1">IFERROR(IF(0=LEN(ReferenceData!$H$5),"",ReferenceData!$H$5),"")</f>
        <v>27.248810160000001</v>
      </c>
      <c r="AF5">
        <f ca="1">IFERROR(IF(0=LEN(ReferenceData!$G$5),"",ReferenceData!$G$5),"")</f>
        <v>28.762253869999999</v>
      </c>
      <c r="AG5">
        <f ca="1">IFERROR(IF(0=LEN(ReferenceData!$F$5),"",ReferenceData!$F$5),"")</f>
        <v>29.701349879999999</v>
      </c>
    </row>
    <row r="6" spans="1:33" x14ac:dyDescent="0.25">
      <c r="A6" t="str">
        <f>IFERROR(IF(0=LEN(ReferenceData!$A$6),"",ReferenceData!$A$6),"")</f>
        <v>ETFs &amp; Mutual Funds Passive %</v>
      </c>
      <c r="B6" t="str">
        <f>IFERROR(IF(0=LEN(ReferenceData!$B$6),"",ReferenceData!$B$6),"")</f>
        <v/>
      </c>
      <c r="C6" t="str">
        <f>IFERROR(IF(0=LEN(ReferenceData!$C$6),"",ReferenceData!$C$6),"")</f>
        <v/>
      </c>
      <c r="D6" t="str">
        <f>IFERROR(IF(0=LEN(ReferenceData!$D$6),"",ReferenceData!$D$6),"")</f>
        <v/>
      </c>
      <c r="E6" t="str">
        <f>IFERROR(IF(0=LEN(ReferenceData!$E$6),"",ReferenceData!$E$6),"")</f>
        <v>Heading</v>
      </c>
      <c r="F6" t="str">
        <f>IFERROR(IF(0=LEN(ReferenceData!$AG$6),"",ReferenceData!$AG$6),"")</f>
        <v/>
      </c>
      <c r="G6" t="str">
        <f>IFERROR(IF(0=LEN(ReferenceData!$AF$6),"",ReferenceData!$AF$6),"")</f>
        <v/>
      </c>
      <c r="H6" t="str">
        <f>IFERROR(IF(0=LEN(ReferenceData!$AE$6),"",ReferenceData!$AE$6),"")</f>
        <v/>
      </c>
      <c r="I6" t="str">
        <f>IFERROR(IF(0=LEN(ReferenceData!$AD$6),"",ReferenceData!$AD$6),"")</f>
        <v/>
      </c>
      <c r="J6" t="str">
        <f>IFERROR(IF(0=LEN(ReferenceData!$AC$6),"",ReferenceData!$AC$6),"")</f>
        <v/>
      </c>
      <c r="K6" t="str">
        <f>IFERROR(IF(0=LEN(ReferenceData!$AB$6),"",ReferenceData!$AB$6),"")</f>
        <v/>
      </c>
      <c r="L6" t="str">
        <f>IFERROR(IF(0=LEN(ReferenceData!$AA$6),"",ReferenceData!$AA$6),"")</f>
        <v/>
      </c>
      <c r="M6" t="str">
        <f>IFERROR(IF(0=LEN(ReferenceData!$Z$6),"",ReferenceData!$Z$6),"")</f>
        <v/>
      </c>
      <c r="N6" t="str">
        <f>IFERROR(IF(0=LEN(ReferenceData!$Y$6),"",ReferenceData!$Y$6),"")</f>
        <v/>
      </c>
      <c r="O6" t="str">
        <f>IFERROR(IF(0=LEN(ReferenceData!$X$6),"",ReferenceData!$X$6),"")</f>
        <v/>
      </c>
      <c r="P6" t="str">
        <f>IFERROR(IF(0=LEN(ReferenceData!$W$6),"",ReferenceData!$W$6),"")</f>
        <v/>
      </c>
      <c r="Q6" t="str">
        <f>IFERROR(IF(0=LEN(ReferenceData!$V$6),"",ReferenceData!$V$6),"")</f>
        <v/>
      </c>
      <c r="R6" t="str">
        <f>IFERROR(IF(0=LEN(ReferenceData!$U$6),"",ReferenceData!$U$6),"")</f>
        <v/>
      </c>
      <c r="S6" t="str">
        <f>IFERROR(IF(0=LEN(ReferenceData!$T$6),"",ReferenceData!$T$6),"")</f>
        <v/>
      </c>
      <c r="T6" t="str">
        <f>IFERROR(IF(0=LEN(ReferenceData!$S$6),"",ReferenceData!$S$6),"")</f>
        <v/>
      </c>
      <c r="U6" t="str">
        <f>IFERROR(IF(0=LEN(ReferenceData!$R$6),"",ReferenceData!$R$6),"")</f>
        <v/>
      </c>
      <c r="V6" t="str">
        <f>IFERROR(IF(0=LEN(ReferenceData!$Q$6),"",ReferenceData!$Q$6),"")</f>
        <v/>
      </c>
      <c r="W6" t="str">
        <f>IFERROR(IF(0=LEN(ReferenceData!$P$6),"",ReferenceData!$P$6),"")</f>
        <v/>
      </c>
      <c r="X6" t="str">
        <f>IFERROR(IF(0=LEN(ReferenceData!$O$6),"",ReferenceData!$O$6),"")</f>
        <v/>
      </c>
      <c r="Y6" t="str">
        <f>IFERROR(IF(0=LEN(ReferenceData!$N$6),"",ReferenceData!$N$6),"")</f>
        <v/>
      </c>
      <c r="Z6" t="str">
        <f>IFERROR(IF(0=LEN(ReferenceData!$M$6),"",ReferenceData!$M$6),"")</f>
        <v/>
      </c>
      <c r="AA6" t="str">
        <f>IFERROR(IF(0=LEN(ReferenceData!$L$6),"",ReferenceData!$L$6),"")</f>
        <v/>
      </c>
      <c r="AB6" t="str">
        <f>IFERROR(IF(0=LEN(ReferenceData!$K$6),"",ReferenceData!$K$6),"")</f>
        <v/>
      </c>
      <c r="AC6" t="str">
        <f>IFERROR(IF(0=LEN(ReferenceData!$J$6),"",ReferenceData!$J$6),"")</f>
        <v/>
      </c>
      <c r="AD6" t="str">
        <f>IFERROR(IF(0=LEN(ReferenceData!$I$6),"",ReferenceData!$I$6),"")</f>
        <v/>
      </c>
      <c r="AE6" t="str">
        <f>IFERROR(IF(0=LEN(ReferenceData!$H$6),"",ReferenceData!$H$6),"")</f>
        <v/>
      </c>
      <c r="AF6" t="str">
        <f>IFERROR(IF(0=LEN(ReferenceData!$G$6),"",ReferenceData!$G$6),"")</f>
        <v/>
      </c>
      <c r="AG6" t="str">
        <f>IFERROR(IF(0=LEN(ReferenceData!$F$6),"",ReferenceData!$F$6),"")</f>
        <v/>
      </c>
    </row>
    <row r="7" spans="1:33" x14ac:dyDescent="0.25">
      <c r="A7" t="str">
        <f>IFERROR(IF(0=LEN(ReferenceData!$A$7),"",ReferenceData!$A$7),"")</f>
        <v xml:space="preserve">    Passive % Of All ETFs &amp; Mutual Funds</v>
      </c>
      <c r="B7" t="str">
        <f>IFERROR(IF(0=LEN(ReferenceData!$B$7),"",ReferenceData!$B$7),"")</f>
        <v/>
      </c>
      <c r="C7" t="str">
        <f>IFERROR(IF(0=LEN(ReferenceData!$C$7),"",ReferenceData!$C$7),"")</f>
        <v/>
      </c>
      <c r="D7" t="str">
        <f>IFERROR(IF(0=LEN(ReferenceData!$D$7),"",ReferenceData!$D$7),"")</f>
        <v/>
      </c>
      <c r="E7" t="str">
        <f>IFERROR(IF(0=LEN(ReferenceData!$E$7),"",ReferenceData!$E$7),"")</f>
        <v>Expression</v>
      </c>
      <c r="F7">
        <f ca="1">IFERROR(IF(0=LEN(ReferenceData!$AG$7),"",ReferenceData!$AG$7),"")</f>
        <v>25.01972542</v>
      </c>
      <c r="G7">
        <f ca="1">IFERROR(IF(0=LEN(ReferenceData!$AF$7),"",ReferenceData!$AF$7),"")</f>
        <v>25.482053659999998</v>
      </c>
      <c r="H7">
        <f ca="1">IFERROR(IF(0=LEN(ReferenceData!$AE$7),"",ReferenceData!$AE$7),"")</f>
        <v>26.09499259</v>
      </c>
      <c r="I7">
        <f ca="1">IFERROR(IF(0=LEN(ReferenceData!$AD$7),"",ReferenceData!$AD$7),"")</f>
        <v>27.224338400000001</v>
      </c>
      <c r="J7">
        <f ca="1">IFERROR(IF(0=LEN(ReferenceData!$AC$7),"",ReferenceData!$AC$7),"")</f>
        <v>27.712089039999999</v>
      </c>
      <c r="K7">
        <f ca="1">IFERROR(IF(0=LEN(ReferenceData!$AB$7),"",ReferenceData!$AB$7),"")</f>
        <v>29.426863919999999</v>
      </c>
      <c r="L7">
        <f ca="1">IFERROR(IF(0=LEN(ReferenceData!$AA$7),"",ReferenceData!$AA$7),"")</f>
        <v>30.417418850000001</v>
      </c>
      <c r="M7">
        <f ca="1">IFERROR(IF(0=LEN(ReferenceData!$Z$7),"",ReferenceData!$Z$7),"")</f>
        <v>31.409681760000002</v>
      </c>
      <c r="N7">
        <f ca="1">IFERROR(IF(0=LEN(ReferenceData!$Y$7),"",ReferenceData!$Y$7),"")</f>
        <v>32.505148210000002</v>
      </c>
      <c r="O7">
        <f ca="1">IFERROR(IF(0=LEN(ReferenceData!$X$7),"",ReferenceData!$X$7),"")</f>
        <v>34.352406989999999</v>
      </c>
      <c r="P7">
        <f ca="1">IFERROR(IF(0=LEN(ReferenceData!$W$7),"",ReferenceData!$W$7),"")</f>
        <v>36.026474839999999</v>
      </c>
      <c r="Q7">
        <f ca="1">IFERROR(IF(0=LEN(ReferenceData!$V$7),"",ReferenceData!$V$7),"")</f>
        <v>37.751042079999998</v>
      </c>
      <c r="R7">
        <f ca="1">IFERROR(IF(0=LEN(ReferenceData!$U$7),"",ReferenceData!$U$7),"")</f>
        <v>38.22369973</v>
      </c>
      <c r="S7">
        <f ca="1">IFERROR(IF(0=LEN(ReferenceData!$T$7),"",ReferenceData!$T$7),"")</f>
        <v>39.842110650000002</v>
      </c>
      <c r="T7">
        <f ca="1">IFERROR(IF(0=LEN(ReferenceData!$S$7),"",ReferenceData!$S$7),"")</f>
        <v>41.186121219999997</v>
      </c>
      <c r="U7">
        <f ca="1">IFERROR(IF(0=LEN(ReferenceData!$R$7),"",ReferenceData!$R$7),"")</f>
        <v>41.605092990000003</v>
      </c>
      <c r="V7">
        <f ca="1">IFERROR(IF(0=LEN(ReferenceData!$Q$7),"",ReferenceData!$Q$7),"")</f>
        <v>41.78018805</v>
      </c>
      <c r="W7">
        <f ca="1">IFERROR(IF(0=LEN(ReferenceData!$P$7),"",ReferenceData!$P$7),"")</f>
        <v>42.79178254</v>
      </c>
      <c r="X7">
        <f ca="1">IFERROR(IF(0=LEN(ReferenceData!$O$7),"",ReferenceData!$O$7),"")</f>
        <v>43.878491500000003</v>
      </c>
      <c r="Y7">
        <f ca="1">IFERROR(IF(0=LEN(ReferenceData!$N$7),"",ReferenceData!$N$7),"")</f>
        <v>45.328457630000003</v>
      </c>
      <c r="Z7">
        <f ca="1">IFERROR(IF(0=LEN(ReferenceData!$M$7),"",ReferenceData!$M$7),"")</f>
        <v>46.404190229999998</v>
      </c>
      <c r="AA7">
        <f ca="1">IFERROR(IF(0=LEN(ReferenceData!$L$7),"",ReferenceData!$L$7),"")</f>
        <v>47.964704169999997</v>
      </c>
      <c r="AB7">
        <f ca="1">IFERROR(IF(0=LEN(ReferenceData!$K$7),"",ReferenceData!$K$7),"")</f>
        <v>48.95340685</v>
      </c>
      <c r="AC7">
        <f ca="1">IFERROR(IF(0=LEN(ReferenceData!$J$7),"",ReferenceData!$J$7),"")</f>
        <v>50.136732739999999</v>
      </c>
      <c r="AD7">
        <f ca="1">IFERROR(IF(0=LEN(ReferenceData!$I$7),"",ReferenceData!$I$7),"")</f>
        <v>51.126708790000002</v>
      </c>
      <c r="AE7">
        <f ca="1">IFERROR(IF(0=LEN(ReferenceData!$H$7),"",ReferenceData!$H$7),"")</f>
        <v>52.638600940000003</v>
      </c>
      <c r="AF7">
        <f ca="1">IFERROR(IF(0=LEN(ReferenceData!$G$7),"",ReferenceData!$G$7),"")</f>
        <v>53.441265780000002</v>
      </c>
      <c r="AG7">
        <f ca="1">IFERROR(IF(0=LEN(ReferenceData!$F$7),"",ReferenceData!$F$7),"")</f>
        <v>54.081123679999997</v>
      </c>
    </row>
    <row r="8" spans="1:33" x14ac:dyDescent="0.25">
      <c r="A8" t="str">
        <f>IFERROR(IF(0=LEN(ReferenceData!$A$8),"",ReferenceData!$A$8),"")</f>
        <v xml:space="preserve">    Passive % Of All Fixed Income Funds</v>
      </c>
      <c r="B8" t="str">
        <f>IFERROR(IF(0=LEN(ReferenceData!$B$8),"",ReferenceData!$B$8),"")</f>
        <v/>
      </c>
      <c r="C8" t="str">
        <f>IFERROR(IF(0=LEN(ReferenceData!$C$8),"",ReferenceData!$C$8),"")</f>
        <v/>
      </c>
      <c r="D8" t="str">
        <f>IFERROR(IF(0=LEN(ReferenceData!$D$8),"",ReferenceData!$D$8),"")</f>
        <v/>
      </c>
      <c r="E8" t="str">
        <f>IFERROR(IF(0=LEN(ReferenceData!$E$8),"",ReferenceData!$E$8),"")</f>
        <v>Expression</v>
      </c>
      <c r="F8">
        <f ca="1">IFERROR(IF(0=LEN(ReferenceData!$AG$8),"",ReferenceData!$AG$8),"")</f>
        <v>15.79825001</v>
      </c>
      <c r="G8">
        <f ca="1">IFERROR(IF(0=LEN(ReferenceData!$AF$8),"",ReferenceData!$AF$8),"")</f>
        <v>15.51131314</v>
      </c>
      <c r="H8">
        <f ca="1">IFERROR(IF(0=LEN(ReferenceData!$AE$8),"",ReferenceData!$AE$8),"")</f>
        <v>15.865767050000001</v>
      </c>
      <c r="I8">
        <f ca="1">IFERROR(IF(0=LEN(ReferenceData!$AD$8),"",ReferenceData!$AD$8),"")</f>
        <v>16.24175533</v>
      </c>
      <c r="J8">
        <f ca="1">IFERROR(IF(0=LEN(ReferenceData!$AC$8),"",ReferenceData!$AC$8),"")</f>
        <v>16.767666680000001</v>
      </c>
      <c r="K8">
        <f ca="1">IFERROR(IF(0=LEN(ReferenceData!$AB$8),"",ReferenceData!$AB$8),"")</f>
        <v>18.517264669999999</v>
      </c>
      <c r="L8">
        <f ca="1">IFERROR(IF(0=LEN(ReferenceData!$AA$8),"",ReferenceData!$AA$8),"")</f>
        <v>19.51103062</v>
      </c>
      <c r="M8">
        <f ca="1">IFERROR(IF(0=LEN(ReferenceData!$Z$8),"",ReferenceData!$Z$8),"")</f>
        <v>20.954988920000002</v>
      </c>
      <c r="N8">
        <f ca="1">IFERROR(IF(0=LEN(ReferenceData!$Y$8),"",ReferenceData!$Y$8),"")</f>
        <v>22.318445310000001</v>
      </c>
      <c r="O8">
        <f ca="1">IFERROR(IF(0=LEN(ReferenceData!$X$8),"",ReferenceData!$X$8),"")</f>
        <v>23.272016669999999</v>
      </c>
      <c r="P8">
        <f ca="1">IFERROR(IF(0=LEN(ReferenceData!$W$8),"",ReferenceData!$W$8),"")</f>
        <v>24.7836012</v>
      </c>
      <c r="Q8">
        <f ca="1">IFERROR(IF(0=LEN(ReferenceData!$V$8),"",ReferenceData!$V$8),"")</f>
        <v>26.115049719999998</v>
      </c>
      <c r="R8">
        <f ca="1">IFERROR(IF(0=LEN(ReferenceData!$U$8),"",ReferenceData!$U$8),"")</f>
        <v>26.764074669999999</v>
      </c>
      <c r="S8">
        <f ca="1">IFERROR(IF(0=LEN(ReferenceData!$T$8),"",ReferenceData!$T$8),"")</f>
        <v>28.07770923</v>
      </c>
      <c r="T8">
        <f ca="1">IFERROR(IF(0=LEN(ReferenceData!$S$8),"",ReferenceData!$S$8),"")</f>
        <v>29.46972895</v>
      </c>
      <c r="U8">
        <f ca="1">IFERROR(IF(0=LEN(ReferenceData!$R$8),"",ReferenceData!$R$8),"")</f>
        <v>29.576187130000001</v>
      </c>
      <c r="V8">
        <f ca="1">IFERROR(IF(0=LEN(ReferenceData!$Q$8),"",ReferenceData!$Q$8),"")</f>
        <v>31.117413710000001</v>
      </c>
      <c r="W8">
        <f ca="1">IFERROR(IF(0=LEN(ReferenceData!$P$8),"",ReferenceData!$P$8),"")</f>
        <v>31.15951209</v>
      </c>
      <c r="X8">
        <f ca="1">IFERROR(IF(0=LEN(ReferenceData!$O$8),"",ReferenceData!$O$8),"")</f>
        <v>31.37792198</v>
      </c>
      <c r="Y8">
        <f ca="1">IFERROR(IF(0=LEN(ReferenceData!$N$8),"",ReferenceData!$N$8),"")</f>
        <v>31.896073019999999</v>
      </c>
      <c r="Z8">
        <f ca="1">IFERROR(IF(0=LEN(ReferenceData!$M$8),"",ReferenceData!$M$8),"")</f>
        <v>34.004145530000002</v>
      </c>
      <c r="AA8">
        <f ca="1">IFERROR(IF(0=LEN(ReferenceData!$L$8),"",ReferenceData!$L$8),"")</f>
        <v>36.325285209999997</v>
      </c>
      <c r="AB8">
        <f ca="1">IFERROR(IF(0=LEN(ReferenceData!$K$8),"",ReferenceData!$K$8),"")</f>
        <v>36.457364730000002</v>
      </c>
      <c r="AC8">
        <f ca="1">IFERROR(IF(0=LEN(ReferenceData!$J$8),"",ReferenceData!$J$8),"")</f>
        <v>37.408445729999997</v>
      </c>
      <c r="AD8">
        <f ca="1">IFERROR(IF(0=LEN(ReferenceData!$I$8),"",ReferenceData!$I$8),"")</f>
        <v>37.440025929999997</v>
      </c>
      <c r="AE8">
        <f ca="1">IFERROR(IF(0=LEN(ReferenceData!$H$8),"",ReferenceData!$H$8),"")</f>
        <v>37.55142781</v>
      </c>
      <c r="AF8">
        <f ca="1">IFERROR(IF(0=LEN(ReferenceData!$G$8),"",ReferenceData!$G$8),"")</f>
        <v>38.189375480000002</v>
      </c>
      <c r="AG8">
        <f ca="1">IFERROR(IF(0=LEN(ReferenceData!$F$8),"",ReferenceData!$F$8),"")</f>
        <v>38.508900680000004</v>
      </c>
    </row>
    <row r="9" spans="1:33" x14ac:dyDescent="0.25">
      <c r="A9" t="str">
        <f>IFERROR(IF(0=LEN(ReferenceData!$A$9),"",ReferenceData!$A$9),"")</f>
        <v xml:space="preserve">    Passive % Of All Equity Funds</v>
      </c>
      <c r="B9" t="str">
        <f>IFERROR(IF(0=LEN(ReferenceData!$B$9),"",ReferenceData!$B$9),"")</f>
        <v/>
      </c>
      <c r="C9" t="str">
        <f>IFERROR(IF(0=LEN(ReferenceData!$C$9),"",ReferenceData!$C$9),"")</f>
        <v/>
      </c>
      <c r="D9" t="str">
        <f>IFERROR(IF(0=LEN(ReferenceData!$D$9),"",ReferenceData!$D$9),"")</f>
        <v/>
      </c>
      <c r="E9" t="str">
        <f>IFERROR(IF(0=LEN(ReferenceData!$E$9),"",ReferenceData!$E$9),"")</f>
        <v>Expression</v>
      </c>
      <c r="F9">
        <f ca="1">IFERROR(IF(0=LEN(ReferenceData!$AG$9),"",ReferenceData!$AG$9),"")</f>
        <v>32.260807409999998</v>
      </c>
      <c r="G9">
        <f ca="1">IFERROR(IF(0=LEN(ReferenceData!$AF$9),"",ReferenceData!$AF$9),"")</f>
        <v>33.024504100000001</v>
      </c>
      <c r="H9">
        <f ca="1">IFERROR(IF(0=LEN(ReferenceData!$AE$9),"",ReferenceData!$AE$9),"")</f>
        <v>33.7064849</v>
      </c>
      <c r="I9">
        <f ca="1">IFERROR(IF(0=LEN(ReferenceData!$AD$9),"",ReferenceData!$AD$9),"")</f>
        <v>34.371795910000003</v>
      </c>
      <c r="J9">
        <f ca="1">IFERROR(IF(0=LEN(ReferenceData!$AC$9),"",ReferenceData!$AC$9),"")</f>
        <v>34.973910959999998</v>
      </c>
      <c r="K9">
        <f ca="1">IFERROR(IF(0=LEN(ReferenceData!$AB$9),"",ReferenceData!$AB$9),"")</f>
        <v>36.808456499999998</v>
      </c>
      <c r="L9">
        <f ca="1">IFERROR(IF(0=LEN(ReferenceData!$AA$9),"",ReferenceData!$AA$9),"")</f>
        <v>37.733407929999998</v>
      </c>
      <c r="M9">
        <f ca="1">IFERROR(IF(0=LEN(ReferenceData!$Z$9),"",ReferenceData!$Z$9),"")</f>
        <v>39.017128040000003</v>
      </c>
      <c r="N9">
        <f ca="1">IFERROR(IF(0=LEN(ReferenceData!$Y$9),"",ReferenceData!$Y$9),"")</f>
        <v>40.179993539999998</v>
      </c>
      <c r="O9">
        <f ca="1">IFERROR(IF(0=LEN(ReferenceData!$X$9),"",ReferenceData!$X$9),"")</f>
        <v>42.348752930000003</v>
      </c>
      <c r="P9">
        <f ca="1">IFERROR(IF(0=LEN(ReferenceData!$W$9),"",ReferenceData!$W$9),"")</f>
        <v>43.844800120000002</v>
      </c>
      <c r="Q9">
        <f ca="1">IFERROR(IF(0=LEN(ReferenceData!$V$9),"",ReferenceData!$V$9),"")</f>
        <v>45.449153590000002</v>
      </c>
      <c r="R9">
        <f ca="1">IFERROR(IF(0=LEN(ReferenceData!$U$9),"",ReferenceData!$U$9),"")</f>
        <v>45.835680699999998</v>
      </c>
      <c r="S9">
        <f ca="1">IFERROR(IF(0=LEN(ReferenceData!$T$9),"",ReferenceData!$T$9),"")</f>
        <v>48.345161730000001</v>
      </c>
      <c r="T9">
        <f ca="1">IFERROR(IF(0=LEN(ReferenceData!$S$9),"",ReferenceData!$S$9),"")</f>
        <v>49.255014279999997</v>
      </c>
      <c r="U9">
        <f ca="1">IFERROR(IF(0=LEN(ReferenceData!$R$9),"",ReferenceData!$R$9),"")</f>
        <v>49.626280649999998</v>
      </c>
      <c r="V9">
        <f ca="1">IFERROR(IF(0=LEN(ReferenceData!$Q$9),"",ReferenceData!$Q$9),"")</f>
        <v>49.461104839999997</v>
      </c>
      <c r="W9">
        <f ca="1">IFERROR(IF(0=LEN(ReferenceData!$P$9),"",ReferenceData!$P$9),"")</f>
        <v>50.207717129999999</v>
      </c>
      <c r="X9">
        <f ca="1">IFERROR(IF(0=LEN(ReferenceData!$O$9),"",ReferenceData!$O$9),"")</f>
        <v>51.397545790000002</v>
      </c>
      <c r="Y9">
        <f ca="1">IFERROR(IF(0=LEN(ReferenceData!$N$9),"",ReferenceData!$N$9),"")</f>
        <v>53.073345750000001</v>
      </c>
      <c r="Z9">
        <f ca="1">IFERROR(IF(0=LEN(ReferenceData!$M$9),"",ReferenceData!$M$9),"")</f>
        <v>54.656960740000002</v>
      </c>
      <c r="AA9">
        <f ca="1">IFERROR(IF(0=LEN(ReferenceData!$L$9),"",ReferenceData!$L$9),"")</f>
        <v>55.74934614</v>
      </c>
      <c r="AB9">
        <f ca="1">IFERROR(IF(0=LEN(ReferenceData!$K$9),"",ReferenceData!$K$9),"")</f>
        <v>56.39454791</v>
      </c>
      <c r="AC9">
        <f ca="1">IFERROR(IF(0=LEN(ReferenceData!$J$9),"",ReferenceData!$J$9),"")</f>
        <v>57.433796940000001</v>
      </c>
      <c r="AD9">
        <f ca="1">IFERROR(IF(0=LEN(ReferenceData!$I$9),"",ReferenceData!$I$9),"")</f>
        <v>58.220890750000002</v>
      </c>
      <c r="AE9">
        <f ca="1">IFERROR(IF(0=LEN(ReferenceData!$H$9),"",ReferenceData!$H$9),"")</f>
        <v>59.983843100000001</v>
      </c>
      <c r="AF9">
        <f ca="1">IFERROR(IF(0=LEN(ReferenceData!$G$9),"",ReferenceData!$G$9),"")</f>
        <v>60.580738969999999</v>
      </c>
      <c r="AG9">
        <f ca="1">IFERROR(IF(0=LEN(ReferenceData!$F$9),"",ReferenceData!$F$9),"")</f>
        <v>61.17163678</v>
      </c>
    </row>
    <row r="10" spans="1:33" x14ac:dyDescent="0.25">
      <c r="A10" t="str">
        <f>IFERROR(IF(0=LEN(ReferenceData!$A$10),"",ReferenceData!$A$10),"")</f>
        <v xml:space="preserve">    Passive % Of Domestic Equity Funds</v>
      </c>
      <c r="B10" t="str">
        <f>IFERROR(IF(0=LEN(ReferenceData!$B$10),"",ReferenceData!$B$10),"")</f>
        <v/>
      </c>
      <c r="C10" t="str">
        <f>IFERROR(IF(0=LEN(ReferenceData!$C$10),"",ReferenceData!$C$10),"")</f>
        <v/>
      </c>
      <c r="D10" t="str">
        <f>IFERROR(IF(0=LEN(ReferenceData!$D$10),"",ReferenceData!$D$10),"")</f>
        <v/>
      </c>
      <c r="E10" t="str">
        <f>IFERROR(IF(0=LEN(ReferenceData!$E$10),"",ReferenceData!$E$10),"")</f>
        <v>Expression</v>
      </c>
      <c r="F10">
        <f ca="1">IFERROR(IF(0=LEN(ReferenceData!$AG$10),"",ReferenceData!$AG$10),"")</f>
        <v>34.647601600000002</v>
      </c>
      <c r="G10">
        <f ca="1">IFERROR(IF(0=LEN(ReferenceData!$AF$10),"",ReferenceData!$AF$10),"")</f>
        <v>35.148219679999997</v>
      </c>
      <c r="H10">
        <f ca="1">IFERROR(IF(0=LEN(ReferenceData!$AE$10),"",ReferenceData!$AE$10),"")</f>
        <v>36.608364950000002</v>
      </c>
      <c r="I10">
        <f ca="1">IFERROR(IF(0=LEN(ReferenceData!$AD$10),"",ReferenceData!$AD$10),"")</f>
        <v>37.340625299999999</v>
      </c>
      <c r="J10">
        <f ca="1">IFERROR(IF(0=LEN(ReferenceData!$AC$10),"",ReferenceData!$AC$10),"")</f>
        <v>38.070970780000003</v>
      </c>
      <c r="K10">
        <f ca="1">IFERROR(IF(0=LEN(ReferenceData!$AB$10),"",ReferenceData!$AB$10),"")</f>
        <v>40.150037099999999</v>
      </c>
      <c r="L10">
        <f ca="1">IFERROR(IF(0=LEN(ReferenceData!$AA$10),"",ReferenceData!$AA$10),"")</f>
        <v>40.552478530000002</v>
      </c>
      <c r="M10">
        <f ca="1">IFERROR(IF(0=LEN(ReferenceData!$Z$10),"",ReferenceData!$Z$10),"")</f>
        <v>41.79663807</v>
      </c>
      <c r="N10">
        <f ca="1">IFERROR(IF(0=LEN(ReferenceData!$Y$10),"",ReferenceData!$Y$10),"")</f>
        <v>43.197554590000003</v>
      </c>
      <c r="O10">
        <f ca="1">IFERROR(IF(0=LEN(ReferenceData!$X$10),"",ReferenceData!$X$10),"")</f>
        <v>45.434496410000001</v>
      </c>
      <c r="P10">
        <f ca="1">IFERROR(IF(0=LEN(ReferenceData!$W$10),"",ReferenceData!$W$10),"")</f>
        <v>46.641489819999997</v>
      </c>
      <c r="Q10">
        <f ca="1">IFERROR(IF(0=LEN(ReferenceData!$V$10),"",ReferenceData!$V$10),"")</f>
        <v>48.355863489999997</v>
      </c>
      <c r="R10">
        <f ca="1">IFERROR(IF(0=LEN(ReferenceData!$U$10),"",ReferenceData!$U$10),"")</f>
        <v>48.591687210000003</v>
      </c>
      <c r="S10">
        <f ca="1">IFERROR(IF(0=LEN(ReferenceData!$T$10),"",ReferenceData!$T$10),"")</f>
        <v>50.82999221</v>
      </c>
      <c r="T10">
        <f ca="1">IFERROR(IF(0=LEN(ReferenceData!$S$10),"",ReferenceData!$S$10),"")</f>
        <v>51.778042020000001</v>
      </c>
      <c r="U10">
        <f ca="1">IFERROR(IF(0=LEN(ReferenceData!$R$10),"",ReferenceData!$R$10),"")</f>
        <v>52.420491259999999</v>
      </c>
      <c r="V10">
        <f ca="1">IFERROR(IF(0=LEN(ReferenceData!$Q$10),"",ReferenceData!$Q$10),"")</f>
        <v>52.268226140000003</v>
      </c>
      <c r="W10">
        <f ca="1">IFERROR(IF(0=LEN(ReferenceData!$P$10),"",ReferenceData!$P$10),"")</f>
        <v>53.33252409</v>
      </c>
      <c r="X10">
        <f ca="1">IFERROR(IF(0=LEN(ReferenceData!$O$10),"",ReferenceData!$O$10),"")</f>
        <v>54.525872890000002</v>
      </c>
      <c r="Y10">
        <f ca="1">IFERROR(IF(0=LEN(ReferenceData!$N$10),"",ReferenceData!$N$10),"")</f>
        <v>56.209454440000002</v>
      </c>
      <c r="Z10">
        <f ca="1">IFERROR(IF(0=LEN(ReferenceData!$M$10),"",ReferenceData!$M$10),"")</f>
        <v>57.703751910000001</v>
      </c>
      <c r="AA10">
        <f ca="1">IFERROR(IF(0=LEN(ReferenceData!$L$10),"",ReferenceData!$L$10),"")</f>
        <v>58.697585480000001</v>
      </c>
      <c r="AB10">
        <f ca="1">IFERROR(IF(0=LEN(ReferenceData!$K$10),"",ReferenceData!$K$10),"")</f>
        <v>59.402437020000001</v>
      </c>
      <c r="AC10">
        <f ca="1">IFERROR(IF(0=LEN(ReferenceData!$J$10),"",ReferenceData!$J$10),"")</f>
        <v>60.37999903</v>
      </c>
      <c r="AD10">
        <f ca="1">IFERROR(IF(0=LEN(ReferenceData!$I$10),"",ReferenceData!$I$10),"")</f>
        <v>61.174771839999998</v>
      </c>
      <c r="AE10">
        <f ca="1">IFERROR(IF(0=LEN(ReferenceData!$H$10),"",ReferenceData!$H$10),"")</f>
        <v>62.958835149999999</v>
      </c>
      <c r="AF10">
        <f ca="1">IFERROR(IF(0=LEN(ReferenceData!$G$10),"",ReferenceData!$G$10),"")</f>
        <v>63.665221780000003</v>
      </c>
      <c r="AG10">
        <f ca="1">IFERROR(IF(0=LEN(ReferenceData!$F$10),"",ReferenceData!$F$10),"")</f>
        <v>64.135501329999997</v>
      </c>
    </row>
    <row r="11" spans="1:33" x14ac:dyDescent="0.25">
      <c r="A11" t="str">
        <f>IFERROR(IF(0=LEN(ReferenceData!$A$11),"",ReferenceData!$A$11),"")</f>
        <v xml:space="preserve">    Passive % Of Non-Domestic Equity Funds</v>
      </c>
      <c r="B11" t="str">
        <f>IFERROR(IF(0=LEN(ReferenceData!$B$11),"",ReferenceData!$B$11),"")</f>
        <v/>
      </c>
      <c r="C11" t="str">
        <f>IFERROR(IF(0=LEN(ReferenceData!$C$11),"",ReferenceData!$C$11),"")</f>
        <v/>
      </c>
      <c r="D11" t="str">
        <f>IFERROR(IF(0=LEN(ReferenceData!$D$11),"",ReferenceData!$D$11),"")</f>
        <v/>
      </c>
      <c r="E11" t="str">
        <f>IFERROR(IF(0=LEN(ReferenceData!$E$11),"",ReferenceData!$E$11),"")</f>
        <v>Expression</v>
      </c>
      <c r="F11">
        <f ca="1">IFERROR(IF(0=LEN(ReferenceData!$AG$11),"",ReferenceData!$AG$11),"")</f>
        <v>26.117961139999998</v>
      </c>
      <c r="G11">
        <f ca="1">IFERROR(IF(0=LEN(ReferenceData!$AF$11),"",ReferenceData!$AF$11),"")</f>
        <v>28.061589359999999</v>
      </c>
      <c r="H11">
        <f ca="1">IFERROR(IF(0=LEN(ReferenceData!$AE$11),"",ReferenceData!$AE$11),"")</f>
        <v>26.284888200000001</v>
      </c>
      <c r="I11">
        <f ca="1">IFERROR(IF(0=LEN(ReferenceData!$AD$11),"",ReferenceData!$AD$11),"")</f>
        <v>26.847736579999999</v>
      </c>
      <c r="J11">
        <f ca="1">IFERROR(IF(0=LEN(ReferenceData!$AC$11),"",ReferenceData!$AC$11),"")</f>
        <v>27.454986760000001</v>
      </c>
      <c r="K11">
        <f ca="1">IFERROR(IF(0=LEN(ReferenceData!$AB$11),"",ReferenceData!$AB$11),"")</f>
        <v>27.828768759999999</v>
      </c>
      <c r="L11">
        <f ca="1">IFERROR(IF(0=LEN(ReferenceData!$AA$11),"",ReferenceData!$AA$11),"")</f>
        <v>30.773960379999998</v>
      </c>
      <c r="M11">
        <f ca="1">IFERROR(IF(0=LEN(ReferenceData!$Z$11),"",ReferenceData!$Z$11),"")</f>
        <v>31.853250859999999</v>
      </c>
      <c r="N11">
        <f ca="1">IFERROR(IF(0=LEN(ReferenceData!$Y$11),"",ReferenceData!$Y$11),"")</f>
        <v>32.269580509999997</v>
      </c>
      <c r="O11">
        <f ca="1">IFERROR(IF(0=LEN(ReferenceData!$X$11),"",ReferenceData!$X$11),"")</f>
        <v>33.872179639999999</v>
      </c>
      <c r="P11">
        <f ca="1">IFERROR(IF(0=LEN(ReferenceData!$W$11),"",ReferenceData!$W$11),"")</f>
        <v>36.722085790000001</v>
      </c>
      <c r="Q11">
        <f ca="1">IFERROR(IF(0=LEN(ReferenceData!$V$11),"",ReferenceData!$V$11),"")</f>
        <v>38.363706999999998</v>
      </c>
      <c r="R11">
        <f ca="1">IFERROR(IF(0=LEN(ReferenceData!$U$11),"",ReferenceData!$U$11),"")</f>
        <v>38.740654409999998</v>
      </c>
      <c r="S11">
        <f ca="1">IFERROR(IF(0=LEN(ReferenceData!$T$11),"",ReferenceData!$T$11),"")</f>
        <v>41.815124570000002</v>
      </c>
      <c r="T11">
        <f ca="1">IFERROR(IF(0=LEN(ReferenceData!$S$11),"",ReferenceData!$S$11),"")</f>
        <v>42.279469640000002</v>
      </c>
      <c r="U11">
        <f ca="1">IFERROR(IF(0=LEN(ReferenceData!$R$11),"",ReferenceData!$R$11),"")</f>
        <v>41.931891</v>
      </c>
      <c r="V11">
        <f ca="1">IFERROR(IF(0=LEN(ReferenceData!$Q$11),"",ReferenceData!$Q$11),"")</f>
        <v>41.335169200000003</v>
      </c>
      <c r="W11">
        <f ca="1">IFERROR(IF(0=LEN(ReferenceData!$P$11),"",ReferenceData!$P$11),"")</f>
        <v>41.17471175</v>
      </c>
      <c r="X11">
        <f ca="1">IFERROR(IF(0=LEN(ReferenceData!$O$11),"",ReferenceData!$O$11),"")</f>
        <v>41.89983573</v>
      </c>
      <c r="Y11">
        <f ca="1">IFERROR(IF(0=LEN(ReferenceData!$N$11),"",ReferenceData!$N$11),"")</f>
        <v>42.887222059999999</v>
      </c>
      <c r="Z11">
        <f ca="1">IFERROR(IF(0=LEN(ReferenceData!$M$11),"",ReferenceData!$M$11),"")</f>
        <v>44.753115700000002</v>
      </c>
      <c r="AA11">
        <f ca="1">IFERROR(IF(0=LEN(ReferenceData!$L$11),"",ReferenceData!$L$11),"")</f>
        <v>46.06725041</v>
      </c>
      <c r="AB11">
        <f ca="1">IFERROR(IF(0=LEN(ReferenceData!$K$11),"",ReferenceData!$K$11),"")</f>
        <v>46.205745110000002</v>
      </c>
      <c r="AC11">
        <f ca="1">IFERROR(IF(0=LEN(ReferenceData!$J$11),"",ReferenceData!$J$11),"")</f>
        <v>46.98137758</v>
      </c>
      <c r="AD11">
        <f ca="1">IFERROR(IF(0=LEN(ReferenceData!$I$11),"",ReferenceData!$I$11),"")</f>
        <v>47.213646519999998</v>
      </c>
      <c r="AE11">
        <f ca="1">IFERROR(IF(0=LEN(ReferenceData!$H$11),"",ReferenceData!$H$11),"")</f>
        <v>47.850298739999999</v>
      </c>
      <c r="AF11">
        <f ca="1">IFERROR(IF(0=LEN(ReferenceData!$G$11),"",ReferenceData!$G$11),"")</f>
        <v>49.180853650000003</v>
      </c>
      <c r="AG11">
        <f ca="1">IFERROR(IF(0=LEN(ReferenceData!$F$11),"",ReferenceData!$F$11),"")</f>
        <v>50.503501999999997</v>
      </c>
    </row>
    <row r="12" spans="1:33" x14ac:dyDescent="0.25">
      <c r="A12" t="str">
        <f>IFERROR(IF(0=LEN(ReferenceData!$A$12),"",ReferenceData!$A$12),"")</f>
        <v>ETF &amp; Mutual fund AUM ($MM)</v>
      </c>
      <c r="B12" t="str">
        <f>IFERROR(IF(0=LEN(ReferenceData!$B$12),"",ReferenceData!$B$12),"")</f>
        <v/>
      </c>
      <c r="C12" t="str">
        <f>IFERROR(IF(0=LEN(ReferenceData!$C$12),"",ReferenceData!$C$12),"")</f>
        <v/>
      </c>
      <c r="D12" t="str">
        <f>IFERROR(IF(0=LEN(ReferenceData!$D$12),"",ReferenceData!$D$12),"")</f>
        <v/>
      </c>
      <c r="E12" t="str">
        <f>IFERROR(IF(0=LEN(ReferenceData!$E$12),"",ReferenceData!$E$12),"")</f>
        <v>Heading</v>
      </c>
      <c r="F12" t="str">
        <f>IFERROR(IF(0=LEN(ReferenceData!$AG$12),"",ReferenceData!$AG$12),"")</f>
        <v/>
      </c>
      <c r="G12" t="str">
        <f>IFERROR(IF(0=LEN(ReferenceData!$AF$12),"",ReferenceData!$AF$12),"")</f>
        <v/>
      </c>
      <c r="H12" t="str">
        <f>IFERROR(IF(0=LEN(ReferenceData!$AE$12),"",ReferenceData!$AE$12),"")</f>
        <v/>
      </c>
      <c r="I12" t="str">
        <f>IFERROR(IF(0=LEN(ReferenceData!$AD$12),"",ReferenceData!$AD$12),"")</f>
        <v/>
      </c>
      <c r="J12" t="str">
        <f>IFERROR(IF(0=LEN(ReferenceData!$AC$12),"",ReferenceData!$AC$12),"")</f>
        <v/>
      </c>
      <c r="K12" t="str">
        <f>IFERROR(IF(0=LEN(ReferenceData!$AB$12),"",ReferenceData!$AB$12),"")</f>
        <v/>
      </c>
      <c r="L12" t="str">
        <f>IFERROR(IF(0=LEN(ReferenceData!$AA$12),"",ReferenceData!$AA$12),"")</f>
        <v/>
      </c>
      <c r="M12" t="str">
        <f>IFERROR(IF(0=LEN(ReferenceData!$Z$12),"",ReferenceData!$Z$12),"")</f>
        <v/>
      </c>
      <c r="N12" t="str">
        <f>IFERROR(IF(0=LEN(ReferenceData!$Y$12),"",ReferenceData!$Y$12),"")</f>
        <v/>
      </c>
      <c r="O12" t="str">
        <f>IFERROR(IF(0=LEN(ReferenceData!$X$12),"",ReferenceData!$X$12),"")</f>
        <v/>
      </c>
      <c r="P12" t="str">
        <f>IFERROR(IF(0=LEN(ReferenceData!$W$12),"",ReferenceData!$W$12),"")</f>
        <v/>
      </c>
      <c r="Q12" t="str">
        <f>IFERROR(IF(0=LEN(ReferenceData!$V$12),"",ReferenceData!$V$12),"")</f>
        <v/>
      </c>
      <c r="R12" t="str">
        <f>IFERROR(IF(0=LEN(ReferenceData!$U$12),"",ReferenceData!$U$12),"")</f>
        <v/>
      </c>
      <c r="S12" t="str">
        <f>IFERROR(IF(0=LEN(ReferenceData!$T$12),"",ReferenceData!$T$12),"")</f>
        <v/>
      </c>
      <c r="T12" t="str">
        <f>IFERROR(IF(0=LEN(ReferenceData!$S$12),"",ReferenceData!$S$12),"")</f>
        <v/>
      </c>
      <c r="U12" t="str">
        <f>IFERROR(IF(0=LEN(ReferenceData!$R$12),"",ReferenceData!$R$12),"")</f>
        <v/>
      </c>
      <c r="V12" t="str">
        <f>IFERROR(IF(0=LEN(ReferenceData!$Q$12),"",ReferenceData!$Q$12),"")</f>
        <v/>
      </c>
      <c r="W12" t="str">
        <f>IFERROR(IF(0=LEN(ReferenceData!$P$12),"",ReferenceData!$P$12),"")</f>
        <v/>
      </c>
      <c r="X12" t="str">
        <f>IFERROR(IF(0=LEN(ReferenceData!$O$12),"",ReferenceData!$O$12),"")</f>
        <v/>
      </c>
      <c r="Y12" t="str">
        <f>IFERROR(IF(0=LEN(ReferenceData!$N$12),"",ReferenceData!$N$12),"")</f>
        <v/>
      </c>
      <c r="Z12" t="str">
        <f>IFERROR(IF(0=LEN(ReferenceData!$M$12),"",ReferenceData!$M$12),"")</f>
        <v/>
      </c>
      <c r="AA12" t="str">
        <f>IFERROR(IF(0=LEN(ReferenceData!$L$12),"",ReferenceData!$L$12),"")</f>
        <v/>
      </c>
      <c r="AB12" t="str">
        <f>IFERROR(IF(0=LEN(ReferenceData!$K$12),"",ReferenceData!$K$12),"")</f>
        <v/>
      </c>
      <c r="AC12" t="str">
        <f>IFERROR(IF(0=LEN(ReferenceData!$J$12),"",ReferenceData!$J$12),"")</f>
        <v/>
      </c>
      <c r="AD12" t="str">
        <f>IFERROR(IF(0=LEN(ReferenceData!$I$12),"",ReferenceData!$I$12),"")</f>
        <v/>
      </c>
      <c r="AE12" t="str">
        <f>IFERROR(IF(0=LEN(ReferenceData!$H$12),"",ReferenceData!$H$12),"")</f>
        <v/>
      </c>
      <c r="AF12" t="str">
        <f>IFERROR(IF(0=LEN(ReferenceData!$G$12),"",ReferenceData!$G$12),"")</f>
        <v/>
      </c>
      <c r="AG12" t="str">
        <f>IFERROR(IF(0=LEN(ReferenceData!$F$12),"",ReferenceData!$F$12),"")</f>
        <v/>
      </c>
    </row>
    <row r="13" spans="1:33" x14ac:dyDescent="0.25">
      <c r="A13" t="str">
        <f>IFERROR(IF(0=LEN(ReferenceData!$A$13),"",ReferenceData!$A$13),"")</f>
        <v xml:space="preserve">    All ETFs &amp; Mutual Funds</v>
      </c>
      <c r="B13" t="str">
        <f>IFERROR(IF(0=LEN(ReferenceData!$B$13),"",ReferenceData!$B$13),"")</f>
        <v/>
      </c>
      <c r="C13" t="str">
        <f>IFERROR(IF(0=LEN(ReferenceData!$C$13),"",ReferenceData!$C$13),"")</f>
        <v/>
      </c>
      <c r="D13" t="str">
        <f>IFERROR(IF(0=LEN(ReferenceData!$D$13),"",ReferenceData!$D$13),"")</f>
        <v/>
      </c>
      <c r="E13" t="str">
        <f>IFERROR(IF(0=LEN(ReferenceData!$E$13),"",ReferenceData!$E$13),"")</f>
        <v>Sum</v>
      </c>
      <c r="F13">
        <f ca="1">IFERROR(IF(0=LEN(ReferenceData!$AG$13),"",ReferenceData!$AG$13),"")</f>
        <v>8871800</v>
      </c>
      <c r="G13">
        <f ca="1">IFERROR(IF(0=LEN(ReferenceData!$AF$13),"",ReferenceData!$AF$13),"")</f>
        <v>9709500</v>
      </c>
      <c r="H13">
        <f ca="1">IFERROR(IF(0=LEN(ReferenceData!$AE$13),"",ReferenceData!$AE$13),"")</f>
        <v>10582720</v>
      </c>
      <c r="I13">
        <f ca="1">IFERROR(IF(0=LEN(ReferenceData!$AD$13),"",ReferenceData!$AD$13),"")</f>
        <v>11805870</v>
      </c>
      <c r="J13">
        <f ca="1">IFERROR(IF(0=LEN(ReferenceData!$AC$13),"",ReferenceData!$AC$13),"")</f>
        <v>12902600</v>
      </c>
      <c r="K13">
        <f ca="1">IFERROR(IF(0=LEN(ReferenceData!$AB$13),"",ReferenceData!$AB$13),"")</f>
        <v>13019770</v>
      </c>
      <c r="L13">
        <f ca="1">IFERROR(IF(0=LEN(ReferenceData!$AA$13),"",ReferenceData!$AA$13),"")</f>
        <v>13543950</v>
      </c>
      <c r="M13">
        <f ca="1">IFERROR(IF(0=LEN(ReferenceData!$Z$13),"",ReferenceData!$Z$13),"")</f>
        <v>13029040</v>
      </c>
      <c r="N13">
        <f ca="1">IFERROR(IF(0=LEN(ReferenceData!$Y$13),"",ReferenceData!$Y$13),"")</f>
        <v>13640670</v>
      </c>
      <c r="O13">
        <f ca="1">IFERROR(IF(0=LEN(ReferenceData!$X$13),"",ReferenceData!$X$13),"")</f>
        <v>14324120</v>
      </c>
      <c r="P13">
        <f ca="1">IFERROR(IF(0=LEN(ReferenceData!$W$13),"",ReferenceData!$W$13),"")</f>
        <v>15915490</v>
      </c>
      <c r="Q13">
        <f ca="1">IFERROR(IF(0=LEN(ReferenceData!$V$13),"",ReferenceData!$V$13),"")</f>
        <v>17409930</v>
      </c>
      <c r="R13">
        <f ca="1">IFERROR(IF(0=LEN(ReferenceData!$U$13),"",ReferenceData!$U$13),"")</f>
        <v>17807800</v>
      </c>
      <c r="S13">
        <f ca="1">IFERROR(IF(0=LEN(ReferenceData!$T$13),"",ReferenceData!$T$13),"")</f>
        <v>16331690</v>
      </c>
      <c r="T13">
        <f ca="1">IFERROR(IF(0=LEN(ReferenceData!$S$13),"",ReferenceData!$S$13),"")</f>
        <v>18590680</v>
      </c>
      <c r="U13">
        <f ca="1">IFERROR(IF(0=LEN(ReferenceData!$R$13),"",ReferenceData!$R$13),"")</f>
        <v>20340130</v>
      </c>
      <c r="V13">
        <f ca="1">IFERROR(IF(0=LEN(ReferenceData!$Q$13),"",ReferenceData!$Q$13),"")</f>
        <v>19828130</v>
      </c>
      <c r="W13">
        <f ca="1">IFERROR(IF(0=LEN(ReferenceData!$P$13),"",ReferenceData!$P$13),"")</f>
        <v>23408700</v>
      </c>
      <c r="X13">
        <f ca="1">IFERROR(IF(0=LEN(ReferenceData!$O$13),"",ReferenceData!$O$13),"")</f>
        <v>26256600</v>
      </c>
      <c r="Y13">
        <f ca="1">IFERROR(IF(0=LEN(ReferenceData!$N$13),"",ReferenceData!$N$13),"")</f>
        <v>27592600</v>
      </c>
      <c r="Z13">
        <f ca="1">IFERROR(IF(0=LEN(ReferenceData!$M$13),"",ReferenceData!$M$13),"")</f>
        <v>22719500</v>
      </c>
      <c r="AA13">
        <f ca="1">IFERROR(IF(0=LEN(ReferenceData!$L$13),"",ReferenceData!$L$13),"")</f>
        <v>22642900</v>
      </c>
      <c r="AB13">
        <f ca="1">IFERROR(IF(0=LEN(ReferenceData!$K$13),"",ReferenceData!$K$13),"")</f>
        <v>24675300</v>
      </c>
      <c r="AC13">
        <f ca="1">IFERROR(IF(0=LEN(ReferenceData!$J$13),"",ReferenceData!$J$13),"")</f>
        <v>26255600</v>
      </c>
      <c r="AD13">
        <f ca="1">IFERROR(IF(0=LEN(ReferenceData!$I$13),"",ReferenceData!$I$13),"")</f>
        <v>28836200</v>
      </c>
      <c r="AE13">
        <f ca="1">IFERROR(IF(0=LEN(ReferenceData!$H$13),"",ReferenceData!$H$13),"")</f>
        <v>30580600</v>
      </c>
      <c r="AF13">
        <f ca="1">IFERROR(IF(0=LEN(ReferenceData!$G$13),"",ReferenceData!$G$13),"")</f>
        <v>32637700</v>
      </c>
      <c r="AG13">
        <f ca="1">IFERROR(IF(0=LEN(ReferenceData!$F$13),"",ReferenceData!$F$13),"")</f>
        <v>35084700</v>
      </c>
    </row>
    <row r="14" spans="1:33" x14ac:dyDescent="0.25">
      <c r="A14" t="str">
        <f>IFERROR(IF(0=LEN(ReferenceData!$A$14),"",ReferenceData!$A$14),"")</f>
        <v xml:space="preserve">        Passive Funds</v>
      </c>
      <c r="B14" t="str">
        <f>IFERROR(IF(0=LEN(ReferenceData!$B$14),"",ReferenceData!$B$14),"")</f>
        <v>.BIATPTT G Index</v>
      </c>
      <c r="C14" t="str">
        <f>IFERROR(IF(0=LEN(ReferenceData!$C$14),"",ReferenceData!$C$14),"")</f>
        <v>PR005</v>
      </c>
      <c r="D14" t="str">
        <f>IFERROR(IF(0=LEN(ReferenceData!$D$14),"",ReferenceData!$D$14),"")</f>
        <v>PX_LAST</v>
      </c>
      <c r="E14" t="str">
        <f>IFERROR(IF(0=LEN(ReferenceData!$E$14),"",ReferenceData!$E$14),"")</f>
        <v>Dynamic</v>
      </c>
      <c r="F14">
        <f ca="1">IFERROR(IF(0=LEN(ReferenceData!$AG$14),"",ReferenceData!$AG$14),"")</f>
        <v>2219700</v>
      </c>
      <c r="G14">
        <f ca="1">IFERROR(IF(0=LEN(ReferenceData!$AF$14),"",ReferenceData!$AF$14),"")</f>
        <v>2474180</v>
      </c>
      <c r="H14">
        <f ca="1">IFERROR(IF(0=LEN(ReferenceData!$AE$14),"",ReferenceData!$AE$14),"")</f>
        <v>2761560</v>
      </c>
      <c r="I14">
        <f ca="1">IFERROR(IF(0=LEN(ReferenceData!$AD$14),"",ReferenceData!$AD$14),"")</f>
        <v>3214070</v>
      </c>
      <c r="J14">
        <f ca="1">IFERROR(IF(0=LEN(ReferenceData!$AC$14),"",ReferenceData!$AC$14),"")</f>
        <v>3575580</v>
      </c>
      <c r="K14">
        <f ca="1">IFERROR(IF(0=LEN(ReferenceData!$AB$14),"",ReferenceData!$AB$14),"")</f>
        <v>3831310</v>
      </c>
      <c r="L14">
        <f ca="1">IFERROR(IF(0=LEN(ReferenceData!$AA$14),"",ReferenceData!$AA$14),"")</f>
        <v>4119720</v>
      </c>
      <c r="M14">
        <f ca="1">IFERROR(IF(0=LEN(ReferenceData!$Z$14),"",ReferenceData!$Z$14),"")</f>
        <v>4092380</v>
      </c>
      <c r="N14">
        <f ca="1">IFERROR(IF(0=LEN(ReferenceData!$Y$14),"",ReferenceData!$Y$14),"")</f>
        <v>4433920</v>
      </c>
      <c r="O14">
        <f ca="1">IFERROR(IF(0=LEN(ReferenceData!$X$14),"",ReferenceData!$X$14),"")</f>
        <v>4920680</v>
      </c>
      <c r="P14">
        <f ca="1">IFERROR(IF(0=LEN(ReferenceData!$W$14),"",ReferenceData!$W$14),"")</f>
        <v>5733790</v>
      </c>
      <c r="Q14">
        <f ca="1">IFERROR(IF(0=LEN(ReferenceData!$V$14),"",ReferenceData!$V$14),"")</f>
        <v>6572430</v>
      </c>
      <c r="R14">
        <f ca="1">IFERROR(IF(0=LEN(ReferenceData!$U$14),"",ReferenceData!$U$14),"")</f>
        <v>6806800</v>
      </c>
      <c r="S14">
        <f ca="1">IFERROR(IF(0=LEN(ReferenceData!$T$14),"",ReferenceData!$T$14),"")</f>
        <v>6506890</v>
      </c>
      <c r="T14">
        <f ca="1">IFERROR(IF(0=LEN(ReferenceData!$S$14),"",ReferenceData!$S$14),"")</f>
        <v>7656780</v>
      </c>
      <c r="U14">
        <f ca="1">IFERROR(IF(0=LEN(ReferenceData!$R$14),"",ReferenceData!$R$14),"")</f>
        <v>8462530</v>
      </c>
      <c r="V14">
        <f ca="1">IFERROR(IF(0=LEN(ReferenceData!$Q$14),"",ReferenceData!$Q$14),"")</f>
        <v>8284230</v>
      </c>
      <c r="W14">
        <f ca="1">IFERROR(IF(0=LEN(ReferenceData!$P$14),"",ReferenceData!$P$14),"")</f>
        <v>10017000</v>
      </c>
      <c r="X14">
        <f ca="1">IFERROR(IF(0=LEN(ReferenceData!$O$14),"",ReferenceData!$O$14),"")</f>
        <v>11521000</v>
      </c>
      <c r="Y14">
        <f ca="1">IFERROR(IF(0=LEN(ReferenceData!$N$14),"",ReferenceData!$N$14),"")</f>
        <v>12507300</v>
      </c>
      <c r="Z14">
        <f ca="1">IFERROR(IF(0=LEN(ReferenceData!$M$14),"",ReferenceData!$M$14),"")</f>
        <v>10542800</v>
      </c>
      <c r="AA14">
        <f ca="1">IFERROR(IF(0=LEN(ReferenceData!$L$14),"",ReferenceData!$L$14),"")</f>
        <v>10860600</v>
      </c>
      <c r="AB14">
        <f ca="1">IFERROR(IF(0=LEN(ReferenceData!$K$14),"",ReferenceData!$K$14),"")</f>
        <v>12079400</v>
      </c>
      <c r="AC14">
        <f ca="1">IFERROR(IF(0=LEN(ReferenceData!$J$14),"",ReferenceData!$J$14),"")</f>
        <v>13163700</v>
      </c>
      <c r="AD14">
        <f ca="1">IFERROR(IF(0=LEN(ReferenceData!$I$14),"",ReferenceData!$I$14),"")</f>
        <v>14743000</v>
      </c>
      <c r="AE14">
        <f ca="1">IFERROR(IF(0=LEN(ReferenceData!$H$14),"",ReferenceData!$H$14),"")</f>
        <v>16097200</v>
      </c>
      <c r="AF14">
        <f ca="1">IFERROR(IF(0=LEN(ReferenceData!$G$14),"",ReferenceData!$G$14),"")</f>
        <v>17442000</v>
      </c>
      <c r="AG14">
        <f ca="1">IFERROR(IF(0=LEN(ReferenceData!$F$14),"",ReferenceData!$F$14),"")</f>
        <v>18974200</v>
      </c>
    </row>
    <row r="15" spans="1:33" x14ac:dyDescent="0.25">
      <c r="A15" t="str">
        <f>IFERROR(IF(0=LEN(ReferenceData!$A$15),"",ReferenceData!$A$15),"")</f>
        <v xml:space="preserve">            Passive Mutual Funds</v>
      </c>
      <c r="B15" t="str">
        <f>IFERROR(IF(0=LEN(ReferenceData!$B$15),"",ReferenceData!$B$15),"")</f>
        <v>.BIAMPTT G Index</v>
      </c>
      <c r="C15" t="str">
        <f>IFERROR(IF(0=LEN(ReferenceData!$C$15),"",ReferenceData!$C$15),"")</f>
        <v>PR005</v>
      </c>
      <c r="D15" t="str">
        <f>IFERROR(IF(0=LEN(ReferenceData!$D$15),"",ReferenceData!$D$15),"")</f>
        <v>PX_LAST</v>
      </c>
      <c r="E15" t="str">
        <f>IFERROR(IF(0=LEN(ReferenceData!$E$15),"",ReferenceData!$E$15),"")</f>
        <v>Dynamic</v>
      </c>
      <c r="F15">
        <f ca="1">IFERROR(IF(0=LEN(ReferenceData!$AG$15),"",ReferenceData!$AG$15),"")</f>
        <v>1073950</v>
      </c>
      <c r="G15">
        <f ca="1">IFERROR(IF(0=LEN(ReferenceData!$AF$15),"",ReferenceData!$AF$15),"")</f>
        <v>1178570</v>
      </c>
      <c r="H15">
        <f ca="1">IFERROR(IF(0=LEN(ReferenceData!$AE$15),"",ReferenceData!$AE$15),"")</f>
        <v>1349510</v>
      </c>
      <c r="I15">
        <f ca="1">IFERROR(IF(0=LEN(ReferenceData!$AD$15),"",ReferenceData!$AD$15),"")</f>
        <v>1575100</v>
      </c>
      <c r="J15">
        <f ca="1">IFERROR(IF(0=LEN(ReferenceData!$AC$15),"",ReferenceData!$AC$15),"")</f>
        <v>1772810</v>
      </c>
      <c r="K15">
        <f ca="1">IFERROR(IF(0=LEN(ReferenceData!$AB$15),"",ReferenceData!$AB$15),"")</f>
        <v>1902020</v>
      </c>
      <c r="L15">
        <f ca="1">IFERROR(IF(0=LEN(ReferenceData!$AA$15),"",ReferenceData!$AA$15),"")</f>
        <v>2042090</v>
      </c>
      <c r="M15">
        <f ca="1">IFERROR(IF(0=LEN(ReferenceData!$Z$15),"",ReferenceData!$Z$15),"")</f>
        <v>2054650</v>
      </c>
      <c r="N15">
        <f ca="1">IFERROR(IF(0=LEN(ReferenceData!$Y$15),"",ReferenceData!$Y$15),"")</f>
        <v>2227660</v>
      </c>
      <c r="O15">
        <f ca="1">IFERROR(IF(0=LEN(ReferenceData!$X$15),"",ReferenceData!$X$15),"")</f>
        <v>2415390</v>
      </c>
      <c r="P15">
        <f ca="1">IFERROR(IF(0=LEN(ReferenceData!$W$15),"",ReferenceData!$W$15),"")</f>
        <v>2822350</v>
      </c>
      <c r="Q15">
        <f ca="1">IFERROR(IF(0=LEN(ReferenceData!$V$15),"",ReferenceData!$V$15),"")</f>
        <v>3184940</v>
      </c>
      <c r="R15">
        <f ca="1">IFERROR(IF(0=LEN(ReferenceData!$U$15),"",ReferenceData!$U$15),"")</f>
        <v>3331210</v>
      </c>
      <c r="S15">
        <f ca="1">IFERROR(IF(0=LEN(ReferenceData!$T$15),"",ReferenceData!$T$15),"")</f>
        <v>3182710</v>
      </c>
      <c r="T15">
        <f ca="1">IFERROR(IF(0=LEN(ReferenceData!$S$15),"",ReferenceData!$S$15),"")</f>
        <v>3786900</v>
      </c>
      <c r="U15">
        <f ca="1">IFERROR(IF(0=LEN(ReferenceData!$R$15),"",ReferenceData!$R$15),"")</f>
        <v>4144870</v>
      </c>
      <c r="V15">
        <f ca="1">IFERROR(IF(0=LEN(ReferenceData!$Q$15),"",ReferenceData!$Q$15),"")</f>
        <v>3999840</v>
      </c>
      <c r="W15">
        <f ca="1">IFERROR(IF(0=LEN(ReferenceData!$P$15),"",ReferenceData!$P$15),"")</f>
        <v>4687590</v>
      </c>
      <c r="X15">
        <f ca="1">IFERROR(IF(0=LEN(ReferenceData!$O$15),"",ReferenceData!$O$15),"")</f>
        <v>5257020</v>
      </c>
      <c r="Y15">
        <f ca="1">IFERROR(IF(0=LEN(ReferenceData!$N$15),"",ReferenceData!$N$15),"")</f>
        <v>5630760</v>
      </c>
      <c r="Z15">
        <f ca="1">IFERROR(IF(0=LEN(ReferenceData!$M$15),"",ReferenceData!$M$15),"")</f>
        <v>4634540</v>
      </c>
      <c r="AA15">
        <f ca="1">IFERROR(IF(0=LEN(ReferenceData!$L$15),"",ReferenceData!$L$15),"")</f>
        <v>4692710</v>
      </c>
      <c r="AB15">
        <f ca="1">IFERROR(IF(0=LEN(ReferenceData!$K$15),"",ReferenceData!$K$15),"")</f>
        <v>5213990</v>
      </c>
      <c r="AC15">
        <f ca="1">IFERROR(IF(0=LEN(ReferenceData!$J$15),"",ReferenceData!$J$15),"")</f>
        <v>5605390</v>
      </c>
      <c r="AD15">
        <f ca="1">IFERROR(IF(0=LEN(ReferenceData!$I$15),"",ReferenceData!$I$15),"")</f>
        <v>6213380</v>
      </c>
      <c r="AE15">
        <f ca="1">IFERROR(IF(0=LEN(ReferenceData!$H$15),"",ReferenceData!$H$15),"")</f>
        <v>6612880</v>
      </c>
      <c r="AF15">
        <f ca="1">IFERROR(IF(0=LEN(ReferenceData!$G$15),"",ReferenceData!$G$15),"")</f>
        <v>7058640</v>
      </c>
      <c r="AG15">
        <f ca="1">IFERROR(IF(0=LEN(ReferenceData!$F$15),"",ReferenceData!$F$15),"")</f>
        <v>7353540</v>
      </c>
    </row>
    <row r="16" spans="1:33" x14ac:dyDescent="0.25">
      <c r="A16" t="str">
        <f>IFERROR(IF(0=LEN(ReferenceData!$A$16),"",ReferenceData!$A$16),"")</f>
        <v xml:space="preserve">            Passive ETFs</v>
      </c>
      <c r="B16" t="str">
        <f>IFERROR(IF(0=LEN(ReferenceData!$B$16),"",ReferenceData!$B$16),"")</f>
        <v/>
      </c>
      <c r="C16" t="str">
        <f>IFERROR(IF(0=LEN(ReferenceData!$C$16),"",ReferenceData!$C$16),"")</f>
        <v/>
      </c>
      <c r="D16" t="str">
        <f>IFERROR(IF(0=LEN(ReferenceData!$D$16),"",ReferenceData!$D$16),"")</f>
        <v/>
      </c>
      <c r="E16" t="str">
        <f>IFERROR(IF(0=LEN(ReferenceData!$E$16),"",ReferenceData!$E$16),"")</f>
        <v>Expression</v>
      </c>
      <c r="F16">
        <f ca="1">IFERROR(IF(0=LEN(ReferenceData!$AG$16),"",ReferenceData!$AG$16),"")</f>
        <v>1145750</v>
      </c>
      <c r="G16">
        <f ca="1">IFERROR(IF(0=LEN(ReferenceData!$AF$16),"",ReferenceData!$AF$16),"")</f>
        <v>1295610</v>
      </c>
      <c r="H16">
        <f ca="1">IFERROR(IF(0=LEN(ReferenceData!$AE$16),"",ReferenceData!$AE$16),"")</f>
        <v>1412050</v>
      </c>
      <c r="I16">
        <f ca="1">IFERROR(IF(0=LEN(ReferenceData!$AD$16),"",ReferenceData!$AD$16),"")</f>
        <v>1638970</v>
      </c>
      <c r="J16">
        <f ca="1">IFERROR(IF(0=LEN(ReferenceData!$AC$16),"",ReferenceData!$AC$16),"")</f>
        <v>1802770</v>
      </c>
      <c r="K16">
        <f ca="1">IFERROR(IF(0=LEN(ReferenceData!$AB$16),"",ReferenceData!$AB$16),"")</f>
        <v>1929290</v>
      </c>
      <c r="L16">
        <f ca="1">IFERROR(IF(0=LEN(ReferenceData!$AA$16),"",ReferenceData!$AA$16),"")</f>
        <v>2077630</v>
      </c>
      <c r="M16">
        <f ca="1">IFERROR(IF(0=LEN(ReferenceData!$Z$16),"",ReferenceData!$Z$16),"")</f>
        <v>2037730</v>
      </c>
      <c r="N16">
        <f ca="1">IFERROR(IF(0=LEN(ReferenceData!$Y$16),"",ReferenceData!$Y$16),"")</f>
        <v>2206260</v>
      </c>
      <c r="O16">
        <f ca="1">IFERROR(IF(0=LEN(ReferenceData!$X$16),"",ReferenceData!$X$16),"")</f>
        <v>2505290</v>
      </c>
      <c r="P16">
        <f ca="1">IFERROR(IF(0=LEN(ReferenceData!$W$16),"",ReferenceData!$W$16),"")</f>
        <v>2911440</v>
      </c>
      <c r="Q16">
        <f ca="1">IFERROR(IF(0=LEN(ReferenceData!$V$16),"",ReferenceData!$V$16),"")</f>
        <v>3387490</v>
      </c>
      <c r="R16">
        <f ca="1">IFERROR(IF(0=LEN(ReferenceData!$U$16),"",ReferenceData!$U$16),"")</f>
        <v>3475590</v>
      </c>
      <c r="S16">
        <f ca="1">IFERROR(IF(0=LEN(ReferenceData!$T$16),"",ReferenceData!$T$16),"")</f>
        <v>3324180</v>
      </c>
      <c r="T16">
        <f ca="1">IFERROR(IF(0=LEN(ReferenceData!$S$16),"",ReferenceData!$S$16),"")</f>
        <v>3869880</v>
      </c>
      <c r="U16">
        <f ca="1">IFERROR(IF(0=LEN(ReferenceData!$R$16),"",ReferenceData!$R$16),"")</f>
        <v>4317660</v>
      </c>
      <c r="V16">
        <f ca="1">IFERROR(IF(0=LEN(ReferenceData!$Q$16),"",ReferenceData!$Q$16),"")</f>
        <v>4284390</v>
      </c>
      <c r="W16">
        <f ca="1">IFERROR(IF(0=LEN(ReferenceData!$P$16),"",ReferenceData!$P$16),"")</f>
        <v>5329410</v>
      </c>
      <c r="X16">
        <f ca="1">IFERROR(IF(0=LEN(ReferenceData!$O$16),"",ReferenceData!$O$16),"")</f>
        <v>6263980</v>
      </c>
      <c r="Y16">
        <f ca="1">IFERROR(IF(0=LEN(ReferenceData!$N$16),"",ReferenceData!$N$16),"")</f>
        <v>6876540</v>
      </c>
      <c r="Z16">
        <f ca="1">IFERROR(IF(0=LEN(ReferenceData!$M$16),"",ReferenceData!$M$16),"")</f>
        <v>5908260</v>
      </c>
      <c r="AA16">
        <f ca="1">IFERROR(IF(0=LEN(ReferenceData!$L$16),"",ReferenceData!$L$16),"")</f>
        <v>6167890</v>
      </c>
      <c r="AB16">
        <f ca="1">IFERROR(IF(0=LEN(ReferenceData!$K$16),"",ReferenceData!$K$16),"")</f>
        <v>6865410</v>
      </c>
      <c r="AC16">
        <f ca="1">IFERROR(IF(0=LEN(ReferenceData!$J$16),"",ReferenceData!$J$16),"")</f>
        <v>7558310</v>
      </c>
      <c r="AD16">
        <f ca="1">IFERROR(IF(0=LEN(ReferenceData!$I$16),"",ReferenceData!$I$16),"")</f>
        <v>8529620</v>
      </c>
      <c r="AE16">
        <f ca="1">IFERROR(IF(0=LEN(ReferenceData!$H$16),"",ReferenceData!$H$16),"")</f>
        <v>9484320</v>
      </c>
      <c r="AF16">
        <f ca="1">IFERROR(IF(0=LEN(ReferenceData!$G$16),"",ReferenceData!$G$16),"")</f>
        <v>10383360</v>
      </c>
      <c r="AG16">
        <f ca="1">IFERROR(IF(0=LEN(ReferenceData!$F$16),"",ReferenceData!$F$16),"")</f>
        <v>11620660</v>
      </c>
    </row>
    <row r="17" spans="1:33" x14ac:dyDescent="0.25">
      <c r="A17" t="str">
        <f>IFERROR(IF(0=LEN(ReferenceData!$A$17),"",ReferenceData!$A$17),"")</f>
        <v xml:space="preserve">        Active Funds</v>
      </c>
      <c r="B17" t="str">
        <f>IFERROR(IF(0=LEN(ReferenceData!$B$17),"",ReferenceData!$B$17),"")</f>
        <v>.BIATATT G Index</v>
      </c>
      <c r="C17" t="str">
        <f>IFERROR(IF(0=LEN(ReferenceData!$C$17),"",ReferenceData!$C$17),"")</f>
        <v>PR005</v>
      </c>
      <c r="D17" t="str">
        <f>IFERROR(IF(0=LEN(ReferenceData!$D$17),"",ReferenceData!$D$17),"")</f>
        <v>PX_LAST</v>
      </c>
      <c r="E17" t="str">
        <f>IFERROR(IF(0=LEN(ReferenceData!$E$17),"",ReferenceData!$E$17),"")</f>
        <v>Dynamic</v>
      </c>
      <c r="F17">
        <f ca="1">IFERROR(IF(0=LEN(ReferenceData!$AG$17),"",ReferenceData!$AG$17),"")</f>
        <v>6652100</v>
      </c>
      <c r="G17">
        <f ca="1">IFERROR(IF(0=LEN(ReferenceData!$AF$17),"",ReferenceData!$AF$17),"")</f>
        <v>7235320</v>
      </c>
      <c r="H17">
        <f ca="1">IFERROR(IF(0=LEN(ReferenceData!$AE$17),"",ReferenceData!$AE$17),"")</f>
        <v>7821160</v>
      </c>
      <c r="I17">
        <f ca="1">IFERROR(IF(0=LEN(ReferenceData!$AD$17),"",ReferenceData!$AD$17),"")</f>
        <v>8591800</v>
      </c>
      <c r="J17">
        <f ca="1">IFERROR(IF(0=LEN(ReferenceData!$AC$17),"",ReferenceData!$AC$17),"")</f>
        <v>9327020</v>
      </c>
      <c r="K17">
        <f ca="1">IFERROR(IF(0=LEN(ReferenceData!$AB$17),"",ReferenceData!$AB$17),"")</f>
        <v>9188460</v>
      </c>
      <c r="L17">
        <f ca="1">IFERROR(IF(0=LEN(ReferenceData!$AA$17),"",ReferenceData!$AA$17),"")</f>
        <v>9424230</v>
      </c>
      <c r="M17">
        <f ca="1">IFERROR(IF(0=LEN(ReferenceData!$Z$17),"",ReferenceData!$Z$17),"")</f>
        <v>8936660</v>
      </c>
      <c r="N17">
        <f ca="1">IFERROR(IF(0=LEN(ReferenceData!$Y$17),"",ReferenceData!$Y$17),"")</f>
        <v>9206750</v>
      </c>
      <c r="O17">
        <f ca="1">IFERROR(IF(0=LEN(ReferenceData!$X$17),"",ReferenceData!$X$17),"")</f>
        <v>9403440</v>
      </c>
      <c r="P17">
        <f ca="1">IFERROR(IF(0=LEN(ReferenceData!$W$17),"",ReferenceData!$W$17),"")</f>
        <v>10181700</v>
      </c>
      <c r="Q17">
        <f ca="1">IFERROR(IF(0=LEN(ReferenceData!$V$17),"",ReferenceData!$V$17),"")</f>
        <v>10837500</v>
      </c>
      <c r="R17">
        <f ca="1">IFERROR(IF(0=LEN(ReferenceData!$U$17),"",ReferenceData!$U$17),"")</f>
        <v>11001000</v>
      </c>
      <c r="S17">
        <f ca="1">IFERROR(IF(0=LEN(ReferenceData!$T$17),"",ReferenceData!$T$17),"")</f>
        <v>9824800</v>
      </c>
      <c r="T17">
        <f ca="1">IFERROR(IF(0=LEN(ReferenceData!$S$17),"",ReferenceData!$S$17),"")</f>
        <v>10933900</v>
      </c>
      <c r="U17">
        <f ca="1">IFERROR(IF(0=LEN(ReferenceData!$R$17),"",ReferenceData!$R$17),"")</f>
        <v>11877600</v>
      </c>
      <c r="V17">
        <f ca="1">IFERROR(IF(0=LEN(ReferenceData!$Q$17),"",ReferenceData!$Q$17),"")</f>
        <v>11543900</v>
      </c>
      <c r="W17">
        <f ca="1">IFERROR(IF(0=LEN(ReferenceData!$P$17),"",ReferenceData!$P$17),"")</f>
        <v>13391700</v>
      </c>
      <c r="X17">
        <f ca="1">IFERROR(IF(0=LEN(ReferenceData!$O$17),"",ReferenceData!$O$17),"")</f>
        <v>14735600</v>
      </c>
      <c r="Y17">
        <f ca="1">IFERROR(IF(0=LEN(ReferenceData!$N$17),"",ReferenceData!$N$17),"")</f>
        <v>15085300</v>
      </c>
      <c r="Z17">
        <f ca="1">IFERROR(IF(0=LEN(ReferenceData!$M$17),"",ReferenceData!$M$17),"")</f>
        <v>12176700</v>
      </c>
      <c r="AA17">
        <f ca="1">IFERROR(IF(0=LEN(ReferenceData!$L$17),"",ReferenceData!$L$17),"")</f>
        <v>11782300</v>
      </c>
      <c r="AB17">
        <f ca="1">IFERROR(IF(0=LEN(ReferenceData!$K$17),"",ReferenceData!$K$17),"")</f>
        <v>12595900</v>
      </c>
      <c r="AC17">
        <f ca="1">IFERROR(IF(0=LEN(ReferenceData!$J$17),"",ReferenceData!$J$17),"")</f>
        <v>13091900</v>
      </c>
      <c r="AD17">
        <f ca="1">IFERROR(IF(0=LEN(ReferenceData!$I$17),"",ReferenceData!$I$17),"")</f>
        <v>14093200</v>
      </c>
      <c r="AE17">
        <f ca="1">IFERROR(IF(0=LEN(ReferenceData!$H$17),"",ReferenceData!$H$17),"")</f>
        <v>14483400</v>
      </c>
      <c r="AF17">
        <f ca="1">IFERROR(IF(0=LEN(ReferenceData!$G$17),"",ReferenceData!$G$17),"")</f>
        <v>15195700</v>
      </c>
      <c r="AG17">
        <f ca="1">IFERROR(IF(0=LEN(ReferenceData!$F$17),"",ReferenceData!$F$17),"")</f>
        <v>16110500</v>
      </c>
    </row>
    <row r="18" spans="1:33" x14ac:dyDescent="0.25">
      <c r="A18" t="str">
        <f>IFERROR(IF(0=LEN(ReferenceData!$A$18),"",ReferenceData!$A$18),"")</f>
        <v xml:space="preserve">            Active Mutual Funds</v>
      </c>
      <c r="B18" t="str">
        <f>IFERROR(IF(0=LEN(ReferenceData!$B$18),"",ReferenceData!$B$18),"")</f>
        <v>.BIAMATT G Index</v>
      </c>
      <c r="C18" t="str">
        <f>IFERROR(IF(0=LEN(ReferenceData!$C$18),"",ReferenceData!$C$18),"")</f>
        <v>PR005</v>
      </c>
      <c r="D18" t="str">
        <f>IFERROR(IF(0=LEN(ReferenceData!$D$18),"",ReferenceData!$D$18),"")</f>
        <v>PX_LAST</v>
      </c>
      <c r="E18" t="str">
        <f>IFERROR(IF(0=LEN(ReferenceData!$E$18),"",ReferenceData!$E$18),"")</f>
        <v>Dynamic</v>
      </c>
      <c r="F18">
        <f ca="1">IFERROR(IF(0=LEN(ReferenceData!$AG$18),"",ReferenceData!$AG$18),"")</f>
        <v>6625190</v>
      </c>
      <c r="G18">
        <f ca="1">IFERROR(IF(0=LEN(ReferenceData!$AF$18),"",ReferenceData!$AF$18),"")</f>
        <v>7209500</v>
      </c>
      <c r="H18">
        <f ca="1">IFERROR(IF(0=LEN(ReferenceData!$AE$18),"",ReferenceData!$AE$18),"")</f>
        <v>7781640</v>
      </c>
      <c r="I18">
        <f ca="1">IFERROR(IF(0=LEN(ReferenceData!$AD$18),"",ReferenceData!$AD$18),"")</f>
        <v>8547190</v>
      </c>
      <c r="J18">
        <f ca="1">IFERROR(IF(0=LEN(ReferenceData!$AC$18),"",ReferenceData!$AC$18),"")</f>
        <v>9275590</v>
      </c>
      <c r="K18">
        <f ca="1">IFERROR(IF(0=LEN(ReferenceData!$AB$18),"",ReferenceData!$AB$18),"")</f>
        <v>9135500</v>
      </c>
      <c r="L18">
        <f ca="1">IFERROR(IF(0=LEN(ReferenceData!$AA$18),"",ReferenceData!$AA$18),"")</f>
        <v>9363890</v>
      </c>
      <c r="M18">
        <f ca="1">IFERROR(IF(0=LEN(ReferenceData!$Z$18),"",ReferenceData!$Z$18),"")</f>
        <v>8876340</v>
      </c>
      <c r="N18">
        <f ca="1">IFERROR(IF(0=LEN(ReferenceData!$Y$18),"",ReferenceData!$Y$18),"")</f>
        <v>9138660</v>
      </c>
      <c r="O18">
        <f ca="1">IFERROR(IF(0=LEN(ReferenceData!$X$18),"",ReferenceData!$X$18),"")</f>
        <v>9323080</v>
      </c>
      <c r="P18">
        <f ca="1">IFERROR(IF(0=LEN(ReferenceData!$W$18),"",ReferenceData!$W$18),"")</f>
        <v>10089600</v>
      </c>
      <c r="Q18">
        <f ca="1">IFERROR(IF(0=LEN(ReferenceData!$V$18),"",ReferenceData!$V$18),"")</f>
        <v>10726200</v>
      </c>
      <c r="R18">
        <f ca="1">IFERROR(IF(0=LEN(ReferenceData!$U$18),"",ReferenceData!$U$18),"")</f>
        <v>10872700</v>
      </c>
      <c r="S18">
        <f ca="1">IFERROR(IF(0=LEN(ReferenceData!$T$18),"",ReferenceData!$T$18),"")</f>
        <v>9694990</v>
      </c>
      <c r="T18">
        <f ca="1">IFERROR(IF(0=LEN(ReferenceData!$S$18),"",ReferenceData!$S$18),"")</f>
        <v>10781600</v>
      </c>
      <c r="U18">
        <f ca="1">IFERROR(IF(0=LEN(ReferenceData!$R$18),"",ReferenceData!$R$18),"")</f>
        <v>11701500</v>
      </c>
      <c r="V18">
        <f ca="1">IFERROR(IF(0=LEN(ReferenceData!$Q$18),"",ReferenceData!$Q$18),"")</f>
        <v>11361300</v>
      </c>
      <c r="W18">
        <f ca="1">IFERROR(IF(0=LEN(ReferenceData!$P$18),"",ReferenceData!$P$18),"")</f>
        <v>13136100</v>
      </c>
      <c r="X18">
        <f ca="1">IFERROR(IF(0=LEN(ReferenceData!$O$18),"",ReferenceData!$O$18),"")</f>
        <v>14403900</v>
      </c>
      <c r="Y18">
        <f ca="1">IFERROR(IF(0=LEN(ReferenceData!$N$18),"",ReferenceData!$N$18),"")</f>
        <v>14726600</v>
      </c>
      <c r="Z18">
        <f ca="1">IFERROR(IF(0=LEN(ReferenceData!$M$18),"",ReferenceData!$M$18),"")</f>
        <v>11808600</v>
      </c>
      <c r="AA18">
        <f ca="1">IFERROR(IF(0=LEN(ReferenceData!$L$18),"",ReferenceData!$L$18),"")</f>
        <v>11368200</v>
      </c>
      <c r="AB18">
        <f ca="1">IFERROR(IF(0=LEN(ReferenceData!$K$18),"",ReferenceData!$K$18),"")</f>
        <v>12101400</v>
      </c>
      <c r="AC18">
        <f ca="1">IFERROR(IF(0=LEN(ReferenceData!$J$18),"",ReferenceData!$J$18),"")</f>
        <v>12502600</v>
      </c>
      <c r="AD18">
        <f ca="1">IFERROR(IF(0=LEN(ReferenceData!$I$18),"",ReferenceData!$I$18),"")</f>
        <v>13335100</v>
      </c>
      <c r="AE18">
        <f ca="1">IFERROR(IF(0=LEN(ReferenceData!$H$18),"",ReferenceData!$H$18),"")</f>
        <v>13538000</v>
      </c>
      <c r="AF18">
        <f ca="1">IFERROR(IF(0=LEN(ReferenceData!$G$18),"",ReferenceData!$G$18),"")</f>
        <v>14039000</v>
      </c>
      <c r="AG18">
        <f ca="1">IFERROR(IF(0=LEN(ReferenceData!$F$18),"",ReferenceData!$F$18),"")</f>
        <v>14722300</v>
      </c>
    </row>
    <row r="19" spans="1:33" x14ac:dyDescent="0.25">
      <c r="A19" t="str">
        <f>IFERROR(IF(0=LEN(ReferenceData!$A$19),"",ReferenceData!$A$19),"")</f>
        <v xml:space="preserve">            Active ETFs</v>
      </c>
      <c r="B19" t="str">
        <f>IFERROR(IF(0=LEN(ReferenceData!$B$19),"",ReferenceData!$B$19),"")</f>
        <v/>
      </c>
      <c r="C19" t="str">
        <f>IFERROR(IF(0=LEN(ReferenceData!$C$19),"",ReferenceData!$C$19),"")</f>
        <v/>
      </c>
      <c r="D19" t="str">
        <f>IFERROR(IF(0=LEN(ReferenceData!$D$19),"",ReferenceData!$D$19),"")</f>
        <v/>
      </c>
      <c r="E19" t="str">
        <f>IFERROR(IF(0=LEN(ReferenceData!$E$19),"",ReferenceData!$E$19),"")</f>
        <v>Expression</v>
      </c>
      <c r="F19">
        <f ca="1">IFERROR(IF(0=LEN(ReferenceData!$AG$19),"",ReferenceData!$AG$19),"")</f>
        <v>26910</v>
      </c>
      <c r="G19">
        <f ca="1">IFERROR(IF(0=LEN(ReferenceData!$AF$19),"",ReferenceData!$AF$19),"")</f>
        <v>25820</v>
      </c>
      <c r="H19">
        <f ca="1">IFERROR(IF(0=LEN(ReferenceData!$AE$19),"",ReferenceData!$AE$19),"")</f>
        <v>39520</v>
      </c>
      <c r="I19">
        <f ca="1">IFERROR(IF(0=LEN(ReferenceData!$AD$19),"",ReferenceData!$AD$19),"")</f>
        <v>44610</v>
      </c>
      <c r="J19">
        <f ca="1">IFERROR(IF(0=LEN(ReferenceData!$AC$19),"",ReferenceData!$AC$19),"")</f>
        <v>51430</v>
      </c>
      <c r="K19">
        <f ca="1">IFERROR(IF(0=LEN(ReferenceData!$AB$19),"",ReferenceData!$AB$19),"")</f>
        <v>52960</v>
      </c>
      <c r="L19">
        <f ca="1">IFERROR(IF(0=LEN(ReferenceData!$AA$19),"",ReferenceData!$AA$19),"")</f>
        <v>60340</v>
      </c>
      <c r="M19">
        <f ca="1">IFERROR(IF(0=LEN(ReferenceData!$Z$19),"",ReferenceData!$Z$19),"")</f>
        <v>60320</v>
      </c>
      <c r="N19">
        <f ca="1">IFERROR(IF(0=LEN(ReferenceData!$Y$19),"",ReferenceData!$Y$19),"")</f>
        <v>68090</v>
      </c>
      <c r="O19">
        <f ca="1">IFERROR(IF(0=LEN(ReferenceData!$X$19),"",ReferenceData!$X$19),"")</f>
        <v>80360</v>
      </c>
      <c r="P19">
        <f ca="1">IFERROR(IF(0=LEN(ReferenceData!$W$19),"",ReferenceData!$W$19),"")</f>
        <v>92100</v>
      </c>
      <c r="Q19">
        <f ca="1">IFERROR(IF(0=LEN(ReferenceData!$V$19),"",ReferenceData!$V$19),"")</f>
        <v>111300</v>
      </c>
      <c r="R19">
        <f ca="1">IFERROR(IF(0=LEN(ReferenceData!$U$19),"",ReferenceData!$U$19),"")</f>
        <v>128300</v>
      </c>
      <c r="S19">
        <f ca="1">IFERROR(IF(0=LEN(ReferenceData!$T$19),"",ReferenceData!$T$19),"")</f>
        <v>129810</v>
      </c>
      <c r="T19">
        <f ca="1">IFERROR(IF(0=LEN(ReferenceData!$S$19),"",ReferenceData!$S$19),"")</f>
        <v>152300</v>
      </c>
      <c r="U19">
        <f ca="1">IFERROR(IF(0=LEN(ReferenceData!$R$19),"",ReferenceData!$R$19),"")</f>
        <v>176100</v>
      </c>
      <c r="V19">
        <f ca="1">IFERROR(IF(0=LEN(ReferenceData!$Q$19),"",ReferenceData!$Q$19),"")</f>
        <v>182600</v>
      </c>
      <c r="W19">
        <f ca="1">IFERROR(IF(0=LEN(ReferenceData!$P$19),"",ReferenceData!$P$19),"")</f>
        <v>255600</v>
      </c>
      <c r="X19">
        <f ca="1">IFERROR(IF(0=LEN(ReferenceData!$O$19),"",ReferenceData!$O$19),"")</f>
        <v>331700</v>
      </c>
      <c r="Y19">
        <f ca="1">IFERROR(IF(0=LEN(ReferenceData!$N$19),"",ReferenceData!$N$19),"")</f>
        <v>358700</v>
      </c>
      <c r="Z19">
        <f ca="1">IFERROR(IF(0=LEN(ReferenceData!$M$19),"",ReferenceData!$M$19),"")</f>
        <v>368100</v>
      </c>
      <c r="AA19">
        <f ca="1">IFERROR(IF(0=LEN(ReferenceData!$L$19),"",ReferenceData!$L$19),"")</f>
        <v>414100</v>
      </c>
      <c r="AB19">
        <f ca="1">IFERROR(IF(0=LEN(ReferenceData!$K$19),"",ReferenceData!$K$19),"")</f>
        <v>494500</v>
      </c>
      <c r="AC19">
        <f ca="1">IFERROR(IF(0=LEN(ReferenceData!$J$19),"",ReferenceData!$J$19),"")</f>
        <v>589300</v>
      </c>
      <c r="AD19">
        <f ca="1">IFERROR(IF(0=LEN(ReferenceData!$I$19),"",ReferenceData!$I$19),"")</f>
        <v>758100</v>
      </c>
      <c r="AE19">
        <f ca="1">IFERROR(IF(0=LEN(ReferenceData!$H$19),"",ReferenceData!$H$19),"")</f>
        <v>945400</v>
      </c>
      <c r="AF19">
        <f ca="1">IFERROR(IF(0=LEN(ReferenceData!$G$19),"",ReferenceData!$G$19),"")</f>
        <v>1156700</v>
      </c>
      <c r="AG19">
        <f ca="1">IFERROR(IF(0=LEN(ReferenceData!$F$19),"",ReferenceData!$F$19),"")</f>
        <v>1388200</v>
      </c>
    </row>
    <row r="20" spans="1:33" x14ac:dyDescent="0.25">
      <c r="A20" t="str">
        <f>IFERROR(IF(0=LEN(ReferenceData!$A$20),"",ReferenceData!$A$20),"")</f>
        <v xml:space="preserve">    All Fixed Income Funds</v>
      </c>
      <c r="B20" t="str">
        <f>IFERROR(IF(0=LEN(ReferenceData!$B$20),"",ReferenceData!$B$20),"")</f>
        <v/>
      </c>
      <c r="C20" t="str">
        <f>IFERROR(IF(0=LEN(ReferenceData!$C$20),"",ReferenceData!$C$20),"")</f>
        <v/>
      </c>
      <c r="D20" t="str">
        <f>IFERROR(IF(0=LEN(ReferenceData!$D$20),"",ReferenceData!$D$20),"")</f>
        <v/>
      </c>
      <c r="E20" t="str">
        <f>IFERROR(IF(0=LEN(ReferenceData!$E$20),"",ReferenceData!$E$20),"")</f>
        <v>Sum</v>
      </c>
      <c r="F20">
        <f ca="1">IFERROR(IF(0=LEN(ReferenceData!$AG$20),"",ReferenceData!$AG$20),"")</f>
        <v>2826984</v>
      </c>
      <c r="G20">
        <f ca="1">IFERROR(IF(0=LEN(ReferenceData!$AF$20),"",ReferenceData!$AF$20),"")</f>
        <v>3097681</v>
      </c>
      <c r="H20">
        <f ca="1">IFERROR(IF(0=LEN(ReferenceData!$AE$20),"",ReferenceData!$AE$20),"")</f>
        <v>3111397</v>
      </c>
      <c r="I20">
        <f ca="1">IFERROR(IF(0=LEN(ReferenceData!$AD$20),"",ReferenceData!$AD$20),"")</f>
        <v>3059854</v>
      </c>
      <c r="J20">
        <f ca="1">IFERROR(IF(0=LEN(ReferenceData!$AC$20),"",ReferenceData!$AC$20),"")</f>
        <v>3285478</v>
      </c>
      <c r="K20">
        <f ca="1">IFERROR(IF(0=LEN(ReferenceData!$AB$20),"",ReferenceData!$AB$20),"")</f>
        <v>3308345</v>
      </c>
      <c r="L20">
        <f ca="1">IFERROR(IF(0=LEN(ReferenceData!$AA$20),"",ReferenceData!$AA$20),"")</f>
        <v>3370027</v>
      </c>
      <c r="M20">
        <f ca="1">IFERROR(IF(0=LEN(ReferenceData!$Z$20),"",ReferenceData!$Z$20),"")</f>
        <v>3335201</v>
      </c>
      <c r="N20">
        <f ca="1">IFERROR(IF(0=LEN(ReferenceData!$Y$20),"",ReferenceData!$Y$20),"")</f>
        <v>3619598</v>
      </c>
      <c r="O20">
        <f ca="1">IFERROR(IF(0=LEN(ReferenceData!$X$20),"",ReferenceData!$X$20),"")</f>
        <v>3668062</v>
      </c>
      <c r="P20">
        <f ca="1">IFERROR(IF(0=LEN(ReferenceData!$W$20),"",ReferenceData!$W$20),"")</f>
        <v>3988585</v>
      </c>
      <c r="Q20">
        <f ca="1">IFERROR(IF(0=LEN(ReferenceData!$V$20),"",ReferenceData!$V$20),"")</f>
        <v>4203400</v>
      </c>
      <c r="R20">
        <f ca="1">IFERROR(IF(0=LEN(ReferenceData!$U$20),"",ReferenceData!$U$20),"")</f>
        <v>4324080</v>
      </c>
      <c r="S20">
        <f ca="1">IFERROR(IF(0=LEN(ReferenceData!$T$20),"",ReferenceData!$T$20),"")</f>
        <v>4315060</v>
      </c>
      <c r="T20">
        <f ca="1">IFERROR(IF(0=LEN(ReferenceData!$S$20),"",ReferenceData!$S$20),"")</f>
        <v>4737200</v>
      </c>
      <c r="U20">
        <f ca="1">IFERROR(IF(0=LEN(ReferenceData!$R$20),"",ReferenceData!$R$20),"")</f>
        <v>5192150</v>
      </c>
      <c r="V20">
        <f ca="1">IFERROR(IF(0=LEN(ReferenceData!$Q$20),"",ReferenceData!$Q$20),"")</f>
        <v>5394600</v>
      </c>
      <c r="W20">
        <f ca="1">IFERROR(IF(0=LEN(ReferenceData!$P$20),"",ReferenceData!$P$20),"")</f>
        <v>5999420</v>
      </c>
      <c r="X20">
        <f ca="1">IFERROR(IF(0=LEN(ReferenceData!$O$20),"",ReferenceData!$O$20),"")</f>
        <v>6422860</v>
      </c>
      <c r="Y20">
        <f ca="1">IFERROR(IF(0=LEN(ReferenceData!$N$20),"",ReferenceData!$N$20),"")</f>
        <v>6645050</v>
      </c>
      <c r="Z20">
        <f ca="1">IFERROR(IF(0=LEN(ReferenceData!$M$20),"",ReferenceData!$M$20),"")</f>
        <v>5818320</v>
      </c>
      <c r="AA20">
        <f ca="1">IFERROR(IF(0=LEN(ReferenceData!$L$20),"",ReferenceData!$L$20),"")</f>
        <v>5610830</v>
      </c>
      <c r="AB20">
        <f ca="1">IFERROR(IF(0=LEN(ReferenceData!$K$20),"",ReferenceData!$K$20),"")</f>
        <v>5753570</v>
      </c>
      <c r="AC20">
        <f ca="1">IFERROR(IF(0=LEN(ReferenceData!$J$20),"",ReferenceData!$J$20),"")</f>
        <v>6003270</v>
      </c>
      <c r="AD20">
        <f ca="1">IFERROR(IF(0=LEN(ReferenceData!$I$20),"",ReferenceData!$I$20),"")</f>
        <v>6231860</v>
      </c>
      <c r="AE20">
        <f ca="1">IFERROR(IF(0=LEN(ReferenceData!$H$20),"",ReferenceData!$H$20),"")</f>
        <v>6572320</v>
      </c>
      <c r="AF20">
        <f ca="1">IFERROR(IF(0=LEN(ReferenceData!$G$20),"",ReferenceData!$G$20),"")</f>
        <v>6885580</v>
      </c>
      <c r="AG20">
        <f ca="1">IFERROR(IF(0=LEN(ReferenceData!$F$20),"",ReferenceData!$F$20),"")</f>
        <v>7344380</v>
      </c>
    </row>
    <row r="21" spans="1:33" x14ac:dyDescent="0.25">
      <c r="A21" t="str">
        <f>IFERROR(IF(0=LEN(ReferenceData!$A$21),"",ReferenceData!$A$21),"")</f>
        <v xml:space="preserve">        Passive Fixed Income</v>
      </c>
      <c r="B21" t="str">
        <f>IFERROR(IF(0=LEN(ReferenceData!$B$21),"",ReferenceData!$B$21),"")</f>
        <v>.BIATPTF G Index</v>
      </c>
      <c r="C21" t="str">
        <f>IFERROR(IF(0=LEN(ReferenceData!$C$21),"",ReferenceData!$C$21),"")</f>
        <v>PR005</v>
      </c>
      <c r="D21" t="str">
        <f>IFERROR(IF(0=LEN(ReferenceData!$D$21),"",ReferenceData!$D$21),"")</f>
        <v>PX_LAST</v>
      </c>
      <c r="E21" t="str">
        <f>IFERROR(IF(0=LEN(ReferenceData!$E$21),"",ReferenceData!$E$21),"")</f>
        <v>Dynamic</v>
      </c>
      <c r="F21">
        <f ca="1">IFERROR(IF(0=LEN(ReferenceData!$AG$21),"",ReferenceData!$AG$21),"")</f>
        <v>446614</v>
      </c>
      <c r="G21">
        <f ca="1">IFERROR(IF(0=LEN(ReferenceData!$AF$21),"",ReferenceData!$AF$21),"")</f>
        <v>480491</v>
      </c>
      <c r="H21">
        <f ca="1">IFERROR(IF(0=LEN(ReferenceData!$AE$21),"",ReferenceData!$AE$21),"")</f>
        <v>493647</v>
      </c>
      <c r="I21">
        <f ca="1">IFERROR(IF(0=LEN(ReferenceData!$AD$21),"",ReferenceData!$AD$21),"")</f>
        <v>496974</v>
      </c>
      <c r="J21">
        <f ca="1">IFERROR(IF(0=LEN(ReferenceData!$AC$21),"",ReferenceData!$AC$21),"")</f>
        <v>550898</v>
      </c>
      <c r="K21">
        <f ca="1">IFERROR(IF(0=LEN(ReferenceData!$AB$21),"",ReferenceData!$AB$21),"")</f>
        <v>612615</v>
      </c>
      <c r="L21">
        <f ca="1">IFERROR(IF(0=LEN(ReferenceData!$AA$21),"",ReferenceData!$AA$21),"")</f>
        <v>657527</v>
      </c>
      <c r="M21">
        <f ca="1">IFERROR(IF(0=LEN(ReferenceData!$Z$21),"",ReferenceData!$Z$21),"")</f>
        <v>698891</v>
      </c>
      <c r="N21">
        <f ca="1">IFERROR(IF(0=LEN(ReferenceData!$Y$21),"",ReferenceData!$Y$21),"")</f>
        <v>807838</v>
      </c>
      <c r="O21">
        <f ca="1">IFERROR(IF(0=LEN(ReferenceData!$X$21),"",ReferenceData!$X$21),"")</f>
        <v>853632</v>
      </c>
      <c r="P21">
        <f ca="1">IFERROR(IF(0=LEN(ReferenceData!$W$21),"",ReferenceData!$W$21),"")</f>
        <v>988515</v>
      </c>
      <c r="Q21">
        <f ca="1">IFERROR(IF(0=LEN(ReferenceData!$V$21),"",ReferenceData!$V$21),"")</f>
        <v>1097720</v>
      </c>
      <c r="R21">
        <f ca="1">IFERROR(IF(0=LEN(ReferenceData!$U$21),"",ReferenceData!$U$21),"")</f>
        <v>1157300</v>
      </c>
      <c r="S21">
        <f ca="1">IFERROR(IF(0=LEN(ReferenceData!$T$21),"",ReferenceData!$T$21),"")</f>
        <v>1211570</v>
      </c>
      <c r="T21">
        <f ca="1">IFERROR(IF(0=LEN(ReferenceData!$S$21),"",ReferenceData!$S$21),"")</f>
        <v>1396040</v>
      </c>
      <c r="U21">
        <f ca="1">IFERROR(IF(0=LEN(ReferenceData!$R$21),"",ReferenceData!$R$21),"")</f>
        <v>1535640</v>
      </c>
      <c r="V21">
        <f ca="1">IFERROR(IF(0=LEN(ReferenceData!$Q$21),"",ReferenceData!$Q$21),"")</f>
        <v>1678660</v>
      </c>
      <c r="W21">
        <f ca="1">IFERROR(IF(0=LEN(ReferenceData!$P$21),"",ReferenceData!$P$21),"")</f>
        <v>1869390</v>
      </c>
      <c r="X21">
        <f ca="1">IFERROR(IF(0=LEN(ReferenceData!$O$21),"",ReferenceData!$O$21),"")</f>
        <v>2015360</v>
      </c>
      <c r="Y21">
        <f ca="1">IFERROR(IF(0=LEN(ReferenceData!$N$21),"",ReferenceData!$N$21),"")</f>
        <v>2119510</v>
      </c>
      <c r="Z21">
        <f ca="1">IFERROR(IF(0=LEN(ReferenceData!$M$21),"",ReferenceData!$M$21),"")</f>
        <v>1978470</v>
      </c>
      <c r="AA21">
        <f ca="1">IFERROR(IF(0=LEN(ReferenceData!$L$21),"",ReferenceData!$L$21),"")</f>
        <v>2038150</v>
      </c>
      <c r="AB21">
        <f ca="1">IFERROR(IF(0=LEN(ReferenceData!$K$21),"",ReferenceData!$K$21),"")</f>
        <v>2097600</v>
      </c>
      <c r="AC21">
        <f ca="1">IFERROR(IF(0=LEN(ReferenceData!$J$21),"",ReferenceData!$J$21),"")</f>
        <v>2245730</v>
      </c>
      <c r="AD21">
        <f ca="1">IFERROR(IF(0=LEN(ReferenceData!$I$21),"",ReferenceData!$I$21),"")</f>
        <v>2333210</v>
      </c>
      <c r="AE21">
        <f ca="1">IFERROR(IF(0=LEN(ReferenceData!$H$21),"",ReferenceData!$H$21),"")</f>
        <v>2468000</v>
      </c>
      <c r="AF21">
        <f ca="1">IFERROR(IF(0=LEN(ReferenceData!$G$21),"",ReferenceData!$G$21),"")</f>
        <v>2629560</v>
      </c>
      <c r="AG21">
        <f ca="1">IFERROR(IF(0=LEN(ReferenceData!$F$21),"",ReferenceData!$F$21),"")</f>
        <v>2828240</v>
      </c>
    </row>
    <row r="22" spans="1:33" x14ac:dyDescent="0.25">
      <c r="A22" t="str">
        <f>IFERROR(IF(0=LEN(ReferenceData!$A$22),"",ReferenceData!$A$22),"")</f>
        <v xml:space="preserve">            Passive Fixed Income Mutual Funds</v>
      </c>
      <c r="B22" t="str">
        <f>IFERROR(IF(0=LEN(ReferenceData!$B$22),"",ReferenceData!$B$22),"")</f>
        <v>.BIAMPTF G Index</v>
      </c>
      <c r="C22" t="str">
        <f>IFERROR(IF(0=LEN(ReferenceData!$C$22),"",ReferenceData!$C$22),"")</f>
        <v>PR005</v>
      </c>
      <c r="D22" t="str">
        <f>IFERROR(IF(0=LEN(ReferenceData!$D$22),"",ReferenceData!$D$22),"")</f>
        <v>PX_LAST</v>
      </c>
      <c r="E22" t="str">
        <f>IFERROR(IF(0=LEN(ReferenceData!$E$22),"",ReferenceData!$E$22),"")</f>
        <v>Dynamic</v>
      </c>
      <c r="F22">
        <f ca="1">IFERROR(IF(0=LEN(ReferenceData!$AG$22),"",ReferenceData!$AG$22),"")</f>
        <v>220871</v>
      </c>
      <c r="G22">
        <f ca="1">IFERROR(IF(0=LEN(ReferenceData!$AF$22),"",ReferenceData!$AF$22),"")</f>
        <v>237330</v>
      </c>
      <c r="H22">
        <f ca="1">IFERROR(IF(0=LEN(ReferenceData!$AE$22),"",ReferenceData!$AE$22),"")</f>
        <v>249403</v>
      </c>
      <c r="I22">
        <f ca="1">IFERROR(IF(0=LEN(ReferenceData!$AD$22),"",ReferenceData!$AD$22),"")</f>
        <v>256712</v>
      </c>
      <c r="J22">
        <f ca="1">IFERROR(IF(0=LEN(ReferenceData!$AC$22),"",ReferenceData!$AC$22),"")</f>
        <v>285168</v>
      </c>
      <c r="K22">
        <f ca="1">IFERROR(IF(0=LEN(ReferenceData!$AB$22),"",ReferenceData!$AB$22),"")</f>
        <v>317917</v>
      </c>
      <c r="L22">
        <f ca="1">IFERROR(IF(0=LEN(ReferenceData!$AA$22),"",ReferenceData!$AA$22),"")</f>
        <v>344167</v>
      </c>
      <c r="M22">
        <f ca="1">IFERROR(IF(0=LEN(ReferenceData!$Z$22),"",ReferenceData!$Z$22),"")</f>
        <v>361081</v>
      </c>
      <c r="N22">
        <f ca="1">IFERROR(IF(0=LEN(ReferenceData!$Y$22),"",ReferenceData!$Y$22),"")</f>
        <v>407902</v>
      </c>
      <c r="O22">
        <f ca="1">IFERROR(IF(0=LEN(ReferenceData!$X$22),"",ReferenceData!$X$22),"")</f>
        <v>428727</v>
      </c>
      <c r="P22">
        <f ca="1">IFERROR(IF(0=LEN(ReferenceData!$W$22),"",ReferenceData!$W$22),"")</f>
        <v>491499</v>
      </c>
      <c r="Q22">
        <f ca="1">IFERROR(IF(0=LEN(ReferenceData!$V$22),"",ReferenceData!$V$22),"")</f>
        <v>550444</v>
      </c>
      <c r="R22">
        <f ca="1">IFERROR(IF(0=LEN(ReferenceData!$U$22),"",ReferenceData!$U$22),"")</f>
        <v>584933</v>
      </c>
      <c r="S22">
        <f ca="1">IFERROR(IF(0=LEN(ReferenceData!$T$22),"",ReferenceData!$T$22),"")</f>
        <v>607361</v>
      </c>
      <c r="T22">
        <f ca="1">IFERROR(IF(0=LEN(ReferenceData!$S$22),"",ReferenceData!$S$22),"")</f>
        <v>698961</v>
      </c>
      <c r="U22">
        <f ca="1">IFERROR(IF(0=LEN(ReferenceData!$R$22),"",ReferenceData!$R$22),"")</f>
        <v>762238</v>
      </c>
      <c r="V22">
        <f ca="1">IFERROR(IF(0=LEN(ReferenceData!$Q$22),"",ReferenceData!$Q$22),"")</f>
        <v>798710</v>
      </c>
      <c r="W22">
        <f ca="1">IFERROR(IF(0=LEN(ReferenceData!$P$22),"",ReferenceData!$P$22),"")</f>
        <v>885143</v>
      </c>
      <c r="X22">
        <f ca="1">IFERROR(IF(0=LEN(ReferenceData!$O$22),"",ReferenceData!$O$22),"")</f>
        <v>952353</v>
      </c>
      <c r="Y22">
        <f ca="1">IFERROR(IF(0=LEN(ReferenceData!$N$22),"",ReferenceData!$N$22),"")</f>
        <v>988790</v>
      </c>
      <c r="Z22">
        <f ca="1">IFERROR(IF(0=LEN(ReferenceData!$M$22),"",ReferenceData!$M$22),"")</f>
        <v>894269</v>
      </c>
      <c r="AA22">
        <f ca="1">IFERROR(IF(0=LEN(ReferenceData!$L$22),"",ReferenceData!$L$22),"")</f>
        <v>873651</v>
      </c>
      <c r="AB22">
        <f ca="1">IFERROR(IF(0=LEN(ReferenceData!$K$22),"",ReferenceData!$K$22),"")</f>
        <v>839082</v>
      </c>
      <c r="AC22">
        <f ca="1">IFERROR(IF(0=LEN(ReferenceData!$J$22),"",ReferenceData!$J$22),"")</f>
        <v>894646</v>
      </c>
      <c r="AD22">
        <f ca="1">IFERROR(IF(0=LEN(ReferenceData!$I$22),"",ReferenceData!$I$22),"")</f>
        <v>923523</v>
      </c>
      <c r="AE22">
        <f ca="1">IFERROR(IF(0=LEN(ReferenceData!$H$22),"",ReferenceData!$H$22),"")</f>
        <v>959961</v>
      </c>
      <c r="AF22">
        <f ca="1">IFERROR(IF(0=LEN(ReferenceData!$G$22),"",ReferenceData!$G$22),"")</f>
        <v>996272</v>
      </c>
      <c r="AG22">
        <f ca="1">IFERROR(IF(0=LEN(ReferenceData!$F$22),"",ReferenceData!$F$22),"")</f>
        <v>1064430</v>
      </c>
    </row>
    <row r="23" spans="1:33" x14ac:dyDescent="0.25">
      <c r="A23" t="str">
        <f>IFERROR(IF(0=LEN(ReferenceData!$A$23),"",ReferenceData!$A$23),"")</f>
        <v xml:space="preserve">            Passive Fixed Income ETFs</v>
      </c>
      <c r="B23" t="str">
        <f>IFERROR(IF(0=LEN(ReferenceData!$B$23),"",ReferenceData!$B$23),"")</f>
        <v/>
      </c>
      <c r="C23" t="str">
        <f>IFERROR(IF(0=LEN(ReferenceData!$C$23),"",ReferenceData!$C$23),"")</f>
        <v/>
      </c>
      <c r="D23" t="str">
        <f>IFERROR(IF(0=LEN(ReferenceData!$D$23),"",ReferenceData!$D$23),"")</f>
        <v/>
      </c>
      <c r="E23" t="str">
        <f>IFERROR(IF(0=LEN(ReferenceData!$E$23),"",ReferenceData!$E$23),"")</f>
        <v>Expression</v>
      </c>
      <c r="F23">
        <f ca="1">IFERROR(IF(0=LEN(ReferenceData!$AG$23),"",ReferenceData!$AG$23),"")</f>
        <v>225743</v>
      </c>
      <c r="G23">
        <f ca="1">IFERROR(IF(0=LEN(ReferenceData!$AF$23),"",ReferenceData!$AF$23),"")</f>
        <v>243161</v>
      </c>
      <c r="H23">
        <f ca="1">IFERROR(IF(0=LEN(ReferenceData!$AE$23),"",ReferenceData!$AE$23),"")</f>
        <v>244244</v>
      </c>
      <c r="I23">
        <f ca="1">IFERROR(IF(0=LEN(ReferenceData!$AD$23),"",ReferenceData!$AD$23),"")</f>
        <v>240262</v>
      </c>
      <c r="J23">
        <f ca="1">IFERROR(IF(0=LEN(ReferenceData!$AC$23),"",ReferenceData!$AC$23),"")</f>
        <v>265730</v>
      </c>
      <c r="K23">
        <f ca="1">IFERROR(IF(0=LEN(ReferenceData!$AB$23),"",ReferenceData!$AB$23),"")</f>
        <v>294698</v>
      </c>
      <c r="L23">
        <f ca="1">IFERROR(IF(0=LEN(ReferenceData!$AA$23),"",ReferenceData!$AA$23),"")</f>
        <v>313360</v>
      </c>
      <c r="M23">
        <f ca="1">IFERROR(IF(0=LEN(ReferenceData!$Z$23),"",ReferenceData!$Z$23),"")</f>
        <v>337810</v>
      </c>
      <c r="N23">
        <f ca="1">IFERROR(IF(0=LEN(ReferenceData!$Y$23),"",ReferenceData!$Y$23),"")</f>
        <v>399936</v>
      </c>
      <c r="O23">
        <f ca="1">IFERROR(IF(0=LEN(ReferenceData!$X$23),"",ReferenceData!$X$23),"")</f>
        <v>424905</v>
      </c>
      <c r="P23">
        <f ca="1">IFERROR(IF(0=LEN(ReferenceData!$W$23),"",ReferenceData!$W$23),"")</f>
        <v>497016</v>
      </c>
      <c r="Q23">
        <f ca="1">IFERROR(IF(0=LEN(ReferenceData!$V$23),"",ReferenceData!$V$23),"")</f>
        <v>547276</v>
      </c>
      <c r="R23">
        <f ca="1">IFERROR(IF(0=LEN(ReferenceData!$U$23),"",ReferenceData!$U$23),"")</f>
        <v>572367</v>
      </c>
      <c r="S23">
        <f ca="1">IFERROR(IF(0=LEN(ReferenceData!$T$23),"",ReferenceData!$T$23),"")</f>
        <v>604209</v>
      </c>
      <c r="T23">
        <f ca="1">IFERROR(IF(0=LEN(ReferenceData!$S$23),"",ReferenceData!$S$23),"")</f>
        <v>697079</v>
      </c>
      <c r="U23">
        <f ca="1">IFERROR(IF(0=LEN(ReferenceData!$R$23),"",ReferenceData!$R$23),"")</f>
        <v>773402</v>
      </c>
      <c r="V23">
        <f ca="1">IFERROR(IF(0=LEN(ReferenceData!$Q$23),"",ReferenceData!$Q$23),"")</f>
        <v>879950</v>
      </c>
      <c r="W23">
        <f ca="1">IFERROR(IF(0=LEN(ReferenceData!$P$23),"",ReferenceData!$P$23),"")</f>
        <v>984247</v>
      </c>
      <c r="X23">
        <f ca="1">IFERROR(IF(0=LEN(ReferenceData!$O$23),"",ReferenceData!$O$23),"")</f>
        <v>1063007</v>
      </c>
      <c r="Y23">
        <f ca="1">IFERROR(IF(0=LEN(ReferenceData!$N$23),"",ReferenceData!$N$23),"")</f>
        <v>1130720</v>
      </c>
      <c r="Z23">
        <f ca="1">IFERROR(IF(0=LEN(ReferenceData!$M$23),"",ReferenceData!$M$23),"")</f>
        <v>1084201</v>
      </c>
      <c r="AA23">
        <f ca="1">IFERROR(IF(0=LEN(ReferenceData!$L$23),"",ReferenceData!$L$23),"")</f>
        <v>1164499</v>
      </c>
      <c r="AB23">
        <f ca="1">IFERROR(IF(0=LEN(ReferenceData!$K$23),"",ReferenceData!$K$23),"")</f>
        <v>1258518</v>
      </c>
      <c r="AC23">
        <f ca="1">IFERROR(IF(0=LEN(ReferenceData!$J$23),"",ReferenceData!$J$23),"")</f>
        <v>1351084</v>
      </c>
      <c r="AD23">
        <f ca="1">IFERROR(IF(0=LEN(ReferenceData!$I$23),"",ReferenceData!$I$23),"")</f>
        <v>1409687</v>
      </c>
      <c r="AE23">
        <f ca="1">IFERROR(IF(0=LEN(ReferenceData!$H$23),"",ReferenceData!$H$23),"")</f>
        <v>1508039</v>
      </c>
      <c r="AF23">
        <f ca="1">IFERROR(IF(0=LEN(ReferenceData!$G$23),"",ReferenceData!$G$23),"")</f>
        <v>1633288</v>
      </c>
      <c r="AG23">
        <f ca="1">IFERROR(IF(0=LEN(ReferenceData!$F$23),"",ReferenceData!$F$23),"")</f>
        <v>1763810</v>
      </c>
    </row>
    <row r="24" spans="1:33" x14ac:dyDescent="0.25">
      <c r="A24" t="str">
        <f>IFERROR(IF(0=LEN(ReferenceData!$A$24),"",ReferenceData!$A$24),"")</f>
        <v xml:space="preserve">        Active Fixed Income</v>
      </c>
      <c r="B24" t="str">
        <f>IFERROR(IF(0=LEN(ReferenceData!$B$24),"",ReferenceData!$B$24),"")</f>
        <v>.BIATATF G Index</v>
      </c>
      <c r="C24" t="str">
        <f>IFERROR(IF(0=LEN(ReferenceData!$C$24),"",ReferenceData!$C$24),"")</f>
        <v>PR005</v>
      </c>
      <c r="D24" t="str">
        <f>IFERROR(IF(0=LEN(ReferenceData!$D$24),"",ReferenceData!$D$24),"")</f>
        <v>PX_LAST</v>
      </c>
      <c r="E24" t="str">
        <f>IFERROR(IF(0=LEN(ReferenceData!$E$24),"",ReferenceData!$E$24),"")</f>
        <v>Dynamic</v>
      </c>
      <c r="F24">
        <f ca="1">IFERROR(IF(0=LEN(ReferenceData!$AG$24),"",ReferenceData!$AG$24),"")</f>
        <v>2380370</v>
      </c>
      <c r="G24">
        <f ca="1">IFERROR(IF(0=LEN(ReferenceData!$AF$24),"",ReferenceData!$AF$24),"")</f>
        <v>2617190</v>
      </c>
      <c r="H24">
        <f ca="1">IFERROR(IF(0=LEN(ReferenceData!$AE$24),"",ReferenceData!$AE$24),"")</f>
        <v>2617750</v>
      </c>
      <c r="I24">
        <f ca="1">IFERROR(IF(0=LEN(ReferenceData!$AD$24),"",ReferenceData!$AD$24),"")</f>
        <v>2562880</v>
      </c>
      <c r="J24">
        <f ca="1">IFERROR(IF(0=LEN(ReferenceData!$AC$24),"",ReferenceData!$AC$24),"")</f>
        <v>2734580</v>
      </c>
      <c r="K24">
        <f ca="1">IFERROR(IF(0=LEN(ReferenceData!$AB$24),"",ReferenceData!$AB$24),"")</f>
        <v>2695730</v>
      </c>
      <c r="L24">
        <f ca="1">IFERROR(IF(0=LEN(ReferenceData!$AA$24),"",ReferenceData!$AA$24),"")</f>
        <v>2712500</v>
      </c>
      <c r="M24">
        <f ca="1">IFERROR(IF(0=LEN(ReferenceData!$Z$24),"",ReferenceData!$Z$24),"")</f>
        <v>2636310</v>
      </c>
      <c r="N24">
        <f ca="1">IFERROR(IF(0=LEN(ReferenceData!$Y$24),"",ReferenceData!$Y$24),"")</f>
        <v>2811760</v>
      </c>
      <c r="O24">
        <f ca="1">IFERROR(IF(0=LEN(ReferenceData!$X$24),"",ReferenceData!$X$24),"")</f>
        <v>2814430</v>
      </c>
      <c r="P24">
        <f ca="1">IFERROR(IF(0=LEN(ReferenceData!$W$24),"",ReferenceData!$W$24),"")</f>
        <v>3000070</v>
      </c>
      <c r="Q24">
        <f ca="1">IFERROR(IF(0=LEN(ReferenceData!$V$24),"",ReferenceData!$V$24),"")</f>
        <v>3105680</v>
      </c>
      <c r="R24">
        <f ca="1">IFERROR(IF(0=LEN(ReferenceData!$U$24),"",ReferenceData!$U$24),"")</f>
        <v>3166780</v>
      </c>
      <c r="S24">
        <f ca="1">IFERROR(IF(0=LEN(ReferenceData!$T$24),"",ReferenceData!$T$24),"")</f>
        <v>3103490</v>
      </c>
      <c r="T24">
        <f ca="1">IFERROR(IF(0=LEN(ReferenceData!$S$24),"",ReferenceData!$S$24),"")</f>
        <v>3341160</v>
      </c>
      <c r="U24">
        <f ca="1">IFERROR(IF(0=LEN(ReferenceData!$R$24),"",ReferenceData!$R$24),"")</f>
        <v>3656510</v>
      </c>
      <c r="V24">
        <f ca="1">IFERROR(IF(0=LEN(ReferenceData!$Q$24),"",ReferenceData!$Q$24),"")</f>
        <v>3715940</v>
      </c>
      <c r="W24">
        <f ca="1">IFERROR(IF(0=LEN(ReferenceData!$P$24),"",ReferenceData!$P$24),"")</f>
        <v>4130030</v>
      </c>
      <c r="X24">
        <f ca="1">IFERROR(IF(0=LEN(ReferenceData!$O$24),"",ReferenceData!$O$24),"")</f>
        <v>4407500</v>
      </c>
      <c r="Y24">
        <f ca="1">IFERROR(IF(0=LEN(ReferenceData!$N$24),"",ReferenceData!$N$24),"")</f>
        <v>4525540</v>
      </c>
      <c r="Z24">
        <f ca="1">IFERROR(IF(0=LEN(ReferenceData!$M$24),"",ReferenceData!$M$24),"")</f>
        <v>3839850</v>
      </c>
      <c r="AA24">
        <f ca="1">IFERROR(IF(0=LEN(ReferenceData!$L$24),"",ReferenceData!$L$24),"")</f>
        <v>3572680</v>
      </c>
      <c r="AB24">
        <f ca="1">IFERROR(IF(0=LEN(ReferenceData!$K$24),"",ReferenceData!$K$24),"")</f>
        <v>3655970</v>
      </c>
      <c r="AC24">
        <f ca="1">IFERROR(IF(0=LEN(ReferenceData!$J$24),"",ReferenceData!$J$24),"")</f>
        <v>3757540</v>
      </c>
      <c r="AD24">
        <f ca="1">IFERROR(IF(0=LEN(ReferenceData!$I$24),"",ReferenceData!$I$24),"")</f>
        <v>3898650</v>
      </c>
      <c r="AE24">
        <f ca="1">IFERROR(IF(0=LEN(ReferenceData!$H$24),"",ReferenceData!$H$24),"")</f>
        <v>4104320</v>
      </c>
      <c r="AF24">
        <f ca="1">IFERROR(IF(0=LEN(ReferenceData!$G$24),"",ReferenceData!$G$24),"")</f>
        <v>4256020</v>
      </c>
      <c r="AG24">
        <f ca="1">IFERROR(IF(0=LEN(ReferenceData!$F$24),"",ReferenceData!$F$24),"")</f>
        <v>4516140</v>
      </c>
    </row>
    <row r="25" spans="1:33" x14ac:dyDescent="0.25">
      <c r="A25" t="str">
        <f>IFERROR(IF(0=LEN(ReferenceData!$A$25),"",ReferenceData!$A$25),"")</f>
        <v xml:space="preserve">            Active Fixed Income Mutual Funds</v>
      </c>
      <c r="B25" t="str">
        <f>IFERROR(IF(0=LEN(ReferenceData!$B$25),"",ReferenceData!$B$25),"")</f>
        <v>.BIAMATF G Index</v>
      </c>
      <c r="C25" t="str">
        <f>IFERROR(IF(0=LEN(ReferenceData!$C$25),"",ReferenceData!$C$25),"")</f>
        <v>PR005</v>
      </c>
      <c r="D25" t="str">
        <f>IFERROR(IF(0=LEN(ReferenceData!$D$25),"",ReferenceData!$D$25),"")</f>
        <v>PX_LAST</v>
      </c>
      <c r="E25" t="str">
        <f>IFERROR(IF(0=LEN(ReferenceData!$E$25),"",ReferenceData!$E$25),"")</f>
        <v>Dynamic</v>
      </c>
      <c r="F25">
        <f ca="1">IFERROR(IF(0=LEN(ReferenceData!$AG$25),"",ReferenceData!$AG$25),"")</f>
        <v>2374510</v>
      </c>
      <c r="G25">
        <f ca="1">IFERROR(IF(0=LEN(ReferenceData!$AF$25),"",ReferenceData!$AF$25),"")</f>
        <v>2614920</v>
      </c>
      <c r="H25">
        <f ca="1">IFERROR(IF(0=LEN(ReferenceData!$AE$25),"",ReferenceData!$AE$25),"")</f>
        <v>2606430</v>
      </c>
      <c r="I25">
        <f ca="1">IFERROR(IF(0=LEN(ReferenceData!$AD$25),"",ReferenceData!$AD$25),"")</f>
        <v>2551860</v>
      </c>
      <c r="J25">
        <f ca="1">IFERROR(IF(0=LEN(ReferenceData!$AC$25),"",ReferenceData!$AC$25),"")</f>
        <v>2722160</v>
      </c>
      <c r="K25">
        <f ca="1">IFERROR(IF(0=LEN(ReferenceData!$AB$25),"",ReferenceData!$AB$25),"")</f>
        <v>2684290</v>
      </c>
      <c r="L25">
        <f ca="1">IFERROR(IF(0=LEN(ReferenceData!$AA$25),"",ReferenceData!$AA$25),"")</f>
        <v>2699240</v>
      </c>
      <c r="M25">
        <f ca="1">IFERROR(IF(0=LEN(ReferenceData!$Z$25),"",ReferenceData!$Z$25),"")</f>
        <v>2619830</v>
      </c>
      <c r="N25">
        <f ca="1">IFERROR(IF(0=LEN(ReferenceData!$Y$25),"",ReferenceData!$Y$25),"")</f>
        <v>2792430</v>
      </c>
      <c r="O25">
        <f ca="1">IFERROR(IF(0=LEN(ReferenceData!$X$25),"",ReferenceData!$X$25),"")</f>
        <v>2791210</v>
      </c>
      <c r="P25">
        <f ca="1">IFERROR(IF(0=LEN(ReferenceData!$W$25),"",ReferenceData!$W$25),"")</f>
        <v>2971380</v>
      </c>
      <c r="Q25">
        <f ca="1">IFERROR(IF(0=LEN(ReferenceData!$V$25),"",ReferenceData!$V$25),"")</f>
        <v>3071860</v>
      </c>
      <c r="R25">
        <f ca="1">IFERROR(IF(0=LEN(ReferenceData!$U$25),"",ReferenceData!$U$25),"")</f>
        <v>3125610</v>
      </c>
      <c r="S25">
        <f ca="1">IFERROR(IF(0=LEN(ReferenceData!$T$25),"",ReferenceData!$T$25),"")</f>
        <v>3049260</v>
      </c>
      <c r="T25">
        <f ca="1">IFERROR(IF(0=LEN(ReferenceData!$S$25),"",ReferenceData!$S$25),"")</f>
        <v>3277930</v>
      </c>
      <c r="U25">
        <f ca="1">IFERROR(IF(0=LEN(ReferenceData!$R$25),"",ReferenceData!$R$25),"")</f>
        <v>3577620</v>
      </c>
      <c r="V25">
        <f ca="1">IFERROR(IF(0=LEN(ReferenceData!$Q$25),"",ReferenceData!$Q$25),"")</f>
        <v>3626530</v>
      </c>
      <c r="W25">
        <f ca="1">IFERROR(IF(0=LEN(ReferenceData!$P$25),"",ReferenceData!$P$25),"")</f>
        <v>4022850</v>
      </c>
      <c r="X25">
        <f ca="1">IFERROR(IF(0=LEN(ReferenceData!$O$25),"",ReferenceData!$O$25),"")</f>
        <v>4281200</v>
      </c>
      <c r="Y25">
        <f ca="1">IFERROR(IF(0=LEN(ReferenceData!$N$25),"",ReferenceData!$N$25),"")</f>
        <v>4387730</v>
      </c>
      <c r="Z25">
        <f ca="1">IFERROR(IF(0=LEN(ReferenceData!$M$25),"",ReferenceData!$M$25),"")</f>
        <v>3703030</v>
      </c>
      <c r="AA25">
        <f ca="1">IFERROR(IF(0=LEN(ReferenceData!$L$25),"",ReferenceData!$L$25),"")</f>
        <v>3431240</v>
      </c>
      <c r="AB25">
        <f ca="1">IFERROR(IF(0=LEN(ReferenceData!$K$25),"",ReferenceData!$K$25),"")</f>
        <v>3504410</v>
      </c>
      <c r="AC25">
        <f ca="1">IFERROR(IF(0=LEN(ReferenceData!$J$25),"",ReferenceData!$J$25),"")</f>
        <v>3579620</v>
      </c>
      <c r="AD25">
        <f ca="1">IFERROR(IF(0=LEN(ReferenceData!$I$25),"",ReferenceData!$I$25),"")</f>
        <v>3680030</v>
      </c>
      <c r="AE25">
        <f ca="1">IFERROR(IF(0=LEN(ReferenceData!$H$25),"",ReferenceData!$H$25),"")</f>
        <v>3821480</v>
      </c>
      <c r="AF25">
        <f ca="1">IFERROR(IF(0=LEN(ReferenceData!$G$25),"",ReferenceData!$G$25),"")</f>
        <v>3908860</v>
      </c>
      <c r="AG25">
        <f ca="1">IFERROR(IF(0=LEN(ReferenceData!$F$25),"",ReferenceData!$F$25),"")</f>
        <v>4098570</v>
      </c>
    </row>
    <row r="26" spans="1:33" x14ac:dyDescent="0.25">
      <c r="A26" t="str">
        <f>IFERROR(IF(0=LEN(ReferenceData!$A$26),"",ReferenceData!$A$26),"")</f>
        <v xml:space="preserve">            Active Fixed Income ETFs</v>
      </c>
      <c r="B26" t="str">
        <f>IFERROR(IF(0=LEN(ReferenceData!$B$26),"",ReferenceData!$B$26),"")</f>
        <v/>
      </c>
      <c r="C26" t="str">
        <f>IFERROR(IF(0=LEN(ReferenceData!$C$26),"",ReferenceData!$C$26),"")</f>
        <v/>
      </c>
      <c r="D26" t="str">
        <f>IFERROR(IF(0=LEN(ReferenceData!$D$26),"",ReferenceData!$D$26),"")</f>
        <v/>
      </c>
      <c r="E26" t="str">
        <f>IFERROR(IF(0=LEN(ReferenceData!$E$26),"",ReferenceData!$E$26),"")</f>
        <v>Expression</v>
      </c>
      <c r="F26">
        <f ca="1">IFERROR(IF(0=LEN(ReferenceData!$AG$26),"",ReferenceData!$AG$26),"")</f>
        <v>5860</v>
      </c>
      <c r="G26">
        <f ca="1">IFERROR(IF(0=LEN(ReferenceData!$AF$26),"",ReferenceData!$AF$26),"")</f>
        <v>2270</v>
      </c>
      <c r="H26">
        <f ca="1">IFERROR(IF(0=LEN(ReferenceData!$AE$26),"",ReferenceData!$AE$26),"")</f>
        <v>11320</v>
      </c>
      <c r="I26">
        <f ca="1">IFERROR(IF(0=LEN(ReferenceData!$AD$26),"",ReferenceData!$AD$26),"")</f>
        <v>11020</v>
      </c>
      <c r="J26">
        <f ca="1">IFERROR(IF(0=LEN(ReferenceData!$AC$26),"",ReferenceData!$AC$26),"")</f>
        <v>12420</v>
      </c>
      <c r="K26">
        <f ca="1">IFERROR(IF(0=LEN(ReferenceData!$AB$26),"",ReferenceData!$AB$26),"")</f>
        <v>11440</v>
      </c>
      <c r="L26">
        <f ca="1">IFERROR(IF(0=LEN(ReferenceData!$AA$26),"",ReferenceData!$AA$26),"")</f>
        <v>13260</v>
      </c>
      <c r="M26">
        <f ca="1">IFERROR(IF(0=LEN(ReferenceData!$Z$26),"",ReferenceData!$Z$26),"")</f>
        <v>16480</v>
      </c>
      <c r="N26">
        <f ca="1">IFERROR(IF(0=LEN(ReferenceData!$Y$26),"",ReferenceData!$Y$26),"")</f>
        <v>19330</v>
      </c>
      <c r="O26">
        <f ca="1">IFERROR(IF(0=LEN(ReferenceData!$X$26),"",ReferenceData!$X$26),"")</f>
        <v>23220</v>
      </c>
      <c r="P26">
        <f ca="1">IFERROR(IF(0=LEN(ReferenceData!$W$26),"",ReferenceData!$W$26),"")</f>
        <v>28690</v>
      </c>
      <c r="Q26">
        <f ca="1">IFERROR(IF(0=LEN(ReferenceData!$V$26),"",ReferenceData!$V$26),"")</f>
        <v>33820</v>
      </c>
      <c r="R26">
        <f ca="1">IFERROR(IF(0=LEN(ReferenceData!$U$26),"",ReferenceData!$U$26),"")</f>
        <v>41170</v>
      </c>
      <c r="S26">
        <f ca="1">IFERROR(IF(0=LEN(ReferenceData!$T$26),"",ReferenceData!$T$26),"")</f>
        <v>54230</v>
      </c>
      <c r="T26">
        <f ca="1">IFERROR(IF(0=LEN(ReferenceData!$S$26),"",ReferenceData!$S$26),"")</f>
        <v>63230</v>
      </c>
      <c r="U26">
        <f ca="1">IFERROR(IF(0=LEN(ReferenceData!$R$26),"",ReferenceData!$R$26),"")</f>
        <v>78890</v>
      </c>
      <c r="V26">
        <f ca="1">IFERROR(IF(0=LEN(ReferenceData!$Q$26),"",ReferenceData!$Q$26),"")</f>
        <v>89410</v>
      </c>
      <c r="W26">
        <f ca="1">IFERROR(IF(0=LEN(ReferenceData!$P$26),"",ReferenceData!$P$26),"")</f>
        <v>107180</v>
      </c>
      <c r="X26">
        <f ca="1">IFERROR(IF(0=LEN(ReferenceData!$O$26),"",ReferenceData!$O$26),"")</f>
        <v>126300</v>
      </c>
      <c r="Y26">
        <f ca="1">IFERROR(IF(0=LEN(ReferenceData!$N$26),"",ReferenceData!$N$26),"")</f>
        <v>137810</v>
      </c>
      <c r="Z26">
        <f ca="1">IFERROR(IF(0=LEN(ReferenceData!$M$26),"",ReferenceData!$M$26),"")</f>
        <v>136820</v>
      </c>
      <c r="AA26">
        <f ca="1">IFERROR(IF(0=LEN(ReferenceData!$L$26),"",ReferenceData!$L$26),"")</f>
        <v>141440</v>
      </c>
      <c r="AB26">
        <f ca="1">IFERROR(IF(0=LEN(ReferenceData!$K$26),"",ReferenceData!$K$26),"")</f>
        <v>151560</v>
      </c>
      <c r="AC26">
        <f ca="1">IFERROR(IF(0=LEN(ReferenceData!$J$26),"",ReferenceData!$J$26),"")</f>
        <v>177920</v>
      </c>
      <c r="AD26">
        <f ca="1">IFERROR(IF(0=LEN(ReferenceData!$I$26),"",ReferenceData!$I$26),"")</f>
        <v>218620</v>
      </c>
      <c r="AE26">
        <f ca="1">IFERROR(IF(0=LEN(ReferenceData!$H$26),"",ReferenceData!$H$26),"")</f>
        <v>282840</v>
      </c>
      <c r="AF26">
        <f ca="1">IFERROR(IF(0=LEN(ReferenceData!$G$26),"",ReferenceData!$G$26),"")</f>
        <v>347160</v>
      </c>
      <c r="AG26">
        <f ca="1">IFERROR(IF(0=LEN(ReferenceData!$F$26),"",ReferenceData!$F$26),"")</f>
        <v>417570</v>
      </c>
    </row>
    <row r="27" spans="1:33" x14ac:dyDescent="0.25">
      <c r="A27" t="str">
        <f>IFERROR(IF(0=LEN(ReferenceData!$A$27),"",ReferenceData!$A$27),"")</f>
        <v xml:space="preserve">    All Equity Funds</v>
      </c>
      <c r="B27" t="str">
        <f>IFERROR(IF(0=LEN(ReferenceData!$B$27),"",ReferenceData!$B$27),"")</f>
        <v/>
      </c>
      <c r="C27" t="str">
        <f>IFERROR(IF(0=LEN(ReferenceData!$C$27),"",ReferenceData!$C$27),"")</f>
        <v/>
      </c>
      <c r="D27" t="str">
        <f>IFERROR(IF(0=LEN(ReferenceData!$D$27),"",ReferenceData!$D$27),"")</f>
        <v/>
      </c>
      <c r="E27" t="str">
        <f>IFERROR(IF(0=LEN(ReferenceData!$E$27),"",ReferenceData!$E$27),"")</f>
        <v>Sum</v>
      </c>
      <c r="F27">
        <f ca="1">IFERROR(IF(0=LEN(ReferenceData!$AG$27),"",ReferenceData!$AG$27),"")</f>
        <v>5092340</v>
      </c>
      <c r="G27">
        <f ca="1">IFERROR(IF(0=LEN(ReferenceData!$AF$27),"",ReferenceData!$AF$27),"")</f>
        <v>5603960</v>
      </c>
      <c r="H27">
        <f ca="1">IFERROR(IF(0=LEN(ReferenceData!$AE$27),"",ReferenceData!$AE$27),"")</f>
        <v>6422770</v>
      </c>
      <c r="I27">
        <f ca="1">IFERROR(IF(0=LEN(ReferenceData!$AD$27),"",ReferenceData!$AD$27),"")</f>
        <v>7626980</v>
      </c>
      <c r="J27">
        <f ca="1">IFERROR(IF(0=LEN(ReferenceData!$AC$27),"",ReferenceData!$AC$27),"")</f>
        <v>8356000</v>
      </c>
      <c r="K27">
        <f ca="1">IFERROR(IF(0=LEN(ReferenceData!$AB$27),"",ReferenceData!$AB$27),"")</f>
        <v>8488620</v>
      </c>
      <c r="L27">
        <f ca="1">IFERROR(IF(0=LEN(ReferenceData!$AA$27),"",ReferenceData!$AA$27),"")</f>
        <v>8919470</v>
      </c>
      <c r="M27">
        <f ca="1">IFERROR(IF(0=LEN(ReferenceData!$Z$27),"",ReferenceData!$Z$27),"")</f>
        <v>8466820</v>
      </c>
      <c r="N27">
        <f ca="1">IFERROR(IF(0=LEN(ReferenceData!$Y$27),"",ReferenceData!$Y$27),"")</f>
        <v>8726980</v>
      </c>
      <c r="O27">
        <f ca="1">IFERROR(IF(0=LEN(ReferenceData!$X$27),"",ReferenceData!$X$27),"")</f>
        <v>9345470</v>
      </c>
      <c r="P27">
        <f ca="1">IFERROR(IF(0=LEN(ReferenceData!$W$27),"",ReferenceData!$W$27),"")</f>
        <v>10557740</v>
      </c>
      <c r="Q27">
        <f ca="1">IFERROR(IF(0=LEN(ReferenceData!$V$27),"",ReferenceData!$V$27),"")</f>
        <v>11768580</v>
      </c>
      <c r="R27">
        <f ca="1">IFERROR(IF(0=LEN(ReferenceData!$U$27),"",ReferenceData!$U$27),"")</f>
        <v>12052510</v>
      </c>
      <c r="S27">
        <f ca="1">IFERROR(IF(0=LEN(ReferenceData!$T$27),"",ReferenceData!$T$27),"")</f>
        <v>10701650</v>
      </c>
      <c r="T27">
        <f ca="1">IFERROR(IF(0=LEN(ReferenceData!$S$27),"",ReferenceData!$S$27),"")</f>
        <v>12436480</v>
      </c>
      <c r="U27">
        <f ca="1">IFERROR(IF(0=LEN(ReferenceData!$R$27),"",ReferenceData!$R$27),"")</f>
        <v>13649280</v>
      </c>
      <c r="V27">
        <f ca="1">IFERROR(IF(0=LEN(ReferenceData!$Q$27),"",ReferenceData!$Q$27),"")</f>
        <v>12955210</v>
      </c>
      <c r="W27">
        <f ca="1">IFERROR(IF(0=LEN(ReferenceData!$P$27),"",ReferenceData!$P$27),"")</f>
        <v>15744970</v>
      </c>
      <c r="X27">
        <f ca="1">IFERROR(IF(0=LEN(ReferenceData!$O$27),"",ReferenceData!$O$27),"")</f>
        <v>18009070</v>
      </c>
      <c r="Y27">
        <f ca="1">IFERROR(IF(0=LEN(ReferenceData!$N$27),"",ReferenceData!$N$27),"")</f>
        <v>19086040</v>
      </c>
      <c r="Z27">
        <f ca="1">IFERROR(IF(0=LEN(ReferenceData!$M$27),"",ReferenceData!$M$27),"")</f>
        <v>15231930</v>
      </c>
      <c r="AA27">
        <f ca="1">IFERROR(IF(0=LEN(ReferenceData!$L$27),"",ReferenceData!$L$27),"")</f>
        <v>15431320</v>
      </c>
      <c r="AB27">
        <f ca="1">IFERROR(IF(0=LEN(ReferenceData!$K$27),"",ReferenceData!$K$27),"")</f>
        <v>17290980</v>
      </c>
      <c r="AC27">
        <f ca="1">IFERROR(IF(0=LEN(ReferenceData!$J$27),"",ReferenceData!$J$27),"")</f>
        <v>18593930</v>
      </c>
      <c r="AD27">
        <f ca="1">IFERROR(IF(0=LEN(ReferenceData!$I$27),"",ReferenceData!$I$27),"")</f>
        <v>20835820</v>
      </c>
      <c r="AE27">
        <f ca="1">IFERROR(IF(0=LEN(ReferenceData!$H$27),"",ReferenceData!$H$27),"")</f>
        <v>22132960</v>
      </c>
      <c r="AF27">
        <f ca="1">IFERROR(IF(0=LEN(ReferenceData!$G$27),"",ReferenceData!$G$27),"")</f>
        <v>23719090</v>
      </c>
      <c r="AG27">
        <f ca="1">IFERROR(IF(0=LEN(ReferenceData!$F$27),"",ReferenceData!$F$27),"")</f>
        <v>25530950</v>
      </c>
    </row>
    <row r="28" spans="1:33" x14ac:dyDescent="0.25">
      <c r="A28" t="str">
        <f>IFERROR(IF(0=LEN(ReferenceData!$A$28),"",ReferenceData!$A$28),"")</f>
        <v xml:space="preserve">        Passive Equity</v>
      </c>
      <c r="B28" t="str">
        <f>IFERROR(IF(0=LEN(ReferenceData!$B$28),"",ReferenceData!$B$28),"")</f>
        <v>.BIATPTE G Index</v>
      </c>
      <c r="C28" t="str">
        <f>IFERROR(IF(0=LEN(ReferenceData!$C$28),"",ReferenceData!$C$28),"")</f>
        <v>PR005</v>
      </c>
      <c r="D28" t="str">
        <f>IFERROR(IF(0=LEN(ReferenceData!$D$28),"",ReferenceData!$D$28),"")</f>
        <v>PX_LAST</v>
      </c>
      <c r="E28" t="str">
        <f>IFERROR(IF(0=LEN(ReferenceData!$E$28),"",ReferenceData!$E$28),"")</f>
        <v>Dynamic</v>
      </c>
      <c r="F28">
        <f ca="1">IFERROR(IF(0=LEN(ReferenceData!$AG$28),"",ReferenceData!$AG$28),"")</f>
        <v>1642830</v>
      </c>
      <c r="G28">
        <f ca="1">IFERROR(IF(0=LEN(ReferenceData!$AF$28),"",ReferenceData!$AF$28),"")</f>
        <v>1850680</v>
      </c>
      <c r="H28">
        <f ca="1">IFERROR(IF(0=LEN(ReferenceData!$AE$28),"",ReferenceData!$AE$28),"")</f>
        <v>2164890</v>
      </c>
      <c r="I28">
        <f ca="1">IFERROR(IF(0=LEN(ReferenceData!$AD$28),"",ReferenceData!$AD$28),"")</f>
        <v>2621530</v>
      </c>
      <c r="J28">
        <f ca="1">IFERROR(IF(0=LEN(ReferenceData!$AC$28),"",ReferenceData!$AC$28),"")</f>
        <v>2922420</v>
      </c>
      <c r="K28">
        <f ca="1">IFERROR(IF(0=LEN(ReferenceData!$AB$28),"",ReferenceData!$AB$28),"")</f>
        <v>3124530</v>
      </c>
      <c r="L28">
        <f ca="1">IFERROR(IF(0=LEN(ReferenceData!$AA$28),"",ReferenceData!$AA$28),"")</f>
        <v>3365620</v>
      </c>
      <c r="M28">
        <f ca="1">IFERROR(IF(0=LEN(ReferenceData!$Z$28),"",ReferenceData!$Z$28),"")</f>
        <v>3303510</v>
      </c>
      <c r="N28">
        <f ca="1">IFERROR(IF(0=LEN(ReferenceData!$Y$28),"",ReferenceData!$Y$28),"")</f>
        <v>3506500</v>
      </c>
      <c r="O28">
        <f ca="1">IFERROR(IF(0=LEN(ReferenceData!$X$28),"",ReferenceData!$X$28),"")</f>
        <v>3957690</v>
      </c>
      <c r="P28">
        <f ca="1">IFERROR(IF(0=LEN(ReferenceData!$W$28),"",ReferenceData!$W$28),"")</f>
        <v>4629020</v>
      </c>
      <c r="Q28">
        <f ca="1">IFERROR(IF(0=LEN(ReferenceData!$V$28),"",ReferenceData!$V$28),"")</f>
        <v>5348720</v>
      </c>
      <c r="R28">
        <f ca="1">IFERROR(IF(0=LEN(ReferenceData!$U$28),"",ReferenceData!$U$28),"")</f>
        <v>5524350</v>
      </c>
      <c r="S28">
        <f ca="1">IFERROR(IF(0=LEN(ReferenceData!$T$28),"",ReferenceData!$T$28),"")</f>
        <v>5173730</v>
      </c>
      <c r="T28">
        <f ca="1">IFERROR(IF(0=LEN(ReferenceData!$S$28),"",ReferenceData!$S$28),"")</f>
        <v>6125590</v>
      </c>
      <c r="U28">
        <f ca="1">IFERROR(IF(0=LEN(ReferenceData!$R$28),"",ReferenceData!$R$28),"")</f>
        <v>6773630</v>
      </c>
      <c r="V28">
        <f ca="1">IFERROR(IF(0=LEN(ReferenceData!$Q$28),"",ReferenceData!$Q$28),"")</f>
        <v>6407790</v>
      </c>
      <c r="W28">
        <f ca="1">IFERROR(IF(0=LEN(ReferenceData!$P$28),"",ReferenceData!$P$28),"")</f>
        <v>7905190</v>
      </c>
      <c r="X28">
        <f ca="1">IFERROR(IF(0=LEN(ReferenceData!$O$28),"",ReferenceData!$O$28),"")</f>
        <v>9256220</v>
      </c>
      <c r="Y28">
        <f ca="1">IFERROR(IF(0=LEN(ReferenceData!$N$28),"",ReferenceData!$N$28),"")</f>
        <v>10129600</v>
      </c>
      <c r="Z28">
        <f ca="1">IFERROR(IF(0=LEN(ReferenceData!$M$28),"",ReferenceData!$M$28),"")</f>
        <v>8325310</v>
      </c>
      <c r="AA28">
        <f ca="1">IFERROR(IF(0=LEN(ReferenceData!$L$28),"",ReferenceData!$L$28),"")</f>
        <v>8602860</v>
      </c>
      <c r="AB28">
        <f ca="1">IFERROR(IF(0=LEN(ReferenceData!$K$28),"",ReferenceData!$K$28),"")</f>
        <v>9751170</v>
      </c>
      <c r="AC28">
        <f ca="1">IFERROR(IF(0=LEN(ReferenceData!$J$28),"",ReferenceData!$J$28),"")</f>
        <v>10679200</v>
      </c>
      <c r="AD28">
        <f ca="1">IFERROR(IF(0=LEN(ReferenceData!$I$28),"",ReferenceData!$I$28),"")</f>
        <v>12130800</v>
      </c>
      <c r="AE28">
        <f ca="1">IFERROR(IF(0=LEN(ReferenceData!$H$28),"",ReferenceData!$H$28),"")</f>
        <v>13276200</v>
      </c>
      <c r="AF28">
        <f ca="1">IFERROR(IF(0=LEN(ReferenceData!$G$28),"",ReferenceData!$G$28),"")</f>
        <v>14369200</v>
      </c>
      <c r="AG28">
        <f ca="1">IFERROR(IF(0=LEN(ReferenceData!$F$28),"",ReferenceData!$F$28),"")</f>
        <v>15617700</v>
      </c>
    </row>
    <row r="29" spans="1:33" x14ac:dyDescent="0.25">
      <c r="A29" t="str">
        <f>IFERROR(IF(0=LEN(ReferenceData!$A$29),"",ReferenceData!$A$29),"")</f>
        <v xml:space="preserve">            Passive Equity Mutual Funds</v>
      </c>
      <c r="B29" t="str">
        <f>IFERROR(IF(0=LEN(ReferenceData!$B$29),"",ReferenceData!$B$29),"")</f>
        <v>.BIAMPTE G Index</v>
      </c>
      <c r="C29" t="str">
        <f>IFERROR(IF(0=LEN(ReferenceData!$C$29),"",ReferenceData!$C$29),"")</f>
        <v>PR005</v>
      </c>
      <c r="D29" t="str">
        <f>IFERROR(IF(0=LEN(ReferenceData!$D$29),"",ReferenceData!$D$29),"")</f>
        <v>PX_LAST</v>
      </c>
      <c r="E29" t="str">
        <f>IFERROR(IF(0=LEN(ReferenceData!$E$29),"",ReferenceData!$E$29),"")</f>
        <v>Dynamic</v>
      </c>
      <c r="F29">
        <f ca="1">IFERROR(IF(0=LEN(ReferenceData!$AG$29),"",ReferenceData!$AG$29),"")</f>
        <v>834945</v>
      </c>
      <c r="G29">
        <f ca="1">IFERROR(IF(0=LEN(ReferenceData!$AF$29),"",ReferenceData!$AF$29),"")</f>
        <v>921973</v>
      </c>
      <c r="H29">
        <f ca="1">IFERROR(IF(0=LEN(ReferenceData!$AE$29),"",ReferenceData!$AE$29),"")</f>
        <v>1078760</v>
      </c>
      <c r="I29">
        <f ca="1">IFERROR(IF(0=LEN(ReferenceData!$AD$29),"",ReferenceData!$AD$29),"")</f>
        <v>1293670</v>
      </c>
      <c r="J29">
        <f ca="1">IFERROR(IF(0=LEN(ReferenceData!$AC$29),"",ReferenceData!$AC$29),"")</f>
        <v>1460530</v>
      </c>
      <c r="K29">
        <f ca="1">IFERROR(IF(0=LEN(ReferenceData!$AB$29),"",ReferenceData!$AB$29),"")</f>
        <v>1554910</v>
      </c>
      <c r="L29">
        <f ca="1">IFERROR(IF(0=LEN(ReferenceData!$AA$29),"",ReferenceData!$AA$29),"")</f>
        <v>1666640</v>
      </c>
      <c r="M29">
        <f ca="1">IFERROR(IF(0=LEN(ReferenceData!$Z$29),"",ReferenceData!$Z$29),"")</f>
        <v>1661420</v>
      </c>
      <c r="N29">
        <f ca="1">IFERROR(IF(0=LEN(ReferenceData!$Y$29),"",ReferenceData!$Y$29),"")</f>
        <v>1785370</v>
      </c>
      <c r="O29">
        <f ca="1">IFERROR(IF(0=LEN(ReferenceData!$X$29),"",ReferenceData!$X$29),"")</f>
        <v>1949350</v>
      </c>
      <c r="P29">
        <f ca="1">IFERROR(IF(0=LEN(ReferenceData!$W$29),"",ReferenceData!$W$29),"")</f>
        <v>2289600</v>
      </c>
      <c r="Q29">
        <f ca="1">IFERROR(IF(0=LEN(ReferenceData!$V$29),"",ReferenceData!$V$29),"")</f>
        <v>2589410</v>
      </c>
      <c r="R29">
        <f ca="1">IFERROR(IF(0=LEN(ReferenceData!$U$29),"",ReferenceData!$U$29),"")</f>
        <v>2700240</v>
      </c>
      <c r="S29">
        <f ca="1">IFERROR(IF(0=LEN(ReferenceData!$T$29),"",ReferenceData!$T$29),"")</f>
        <v>2530790</v>
      </c>
      <c r="T29">
        <f ca="1">IFERROR(IF(0=LEN(ReferenceData!$S$29),"",ReferenceData!$S$29),"")</f>
        <v>3036650</v>
      </c>
      <c r="U29">
        <f ca="1">IFERROR(IF(0=LEN(ReferenceData!$R$29),"",ReferenceData!$R$29),"")</f>
        <v>3328280</v>
      </c>
      <c r="V29">
        <f ca="1">IFERROR(IF(0=LEN(ReferenceData!$Q$29),"",ReferenceData!$Q$29),"")</f>
        <v>3147480</v>
      </c>
      <c r="W29">
        <f ca="1">IFERROR(IF(0=LEN(ReferenceData!$P$29),"",ReferenceData!$P$29),"")</f>
        <v>3739780</v>
      </c>
      <c r="X29">
        <f ca="1">IFERROR(IF(0=LEN(ReferenceData!$O$29),"",ReferenceData!$O$29),"")</f>
        <v>4234630</v>
      </c>
      <c r="Y29">
        <f ca="1">IFERROR(IF(0=LEN(ReferenceData!$N$29),"",ReferenceData!$N$29),"")</f>
        <v>4567400</v>
      </c>
      <c r="Z29">
        <f ca="1">IFERROR(IF(0=LEN(ReferenceData!$M$29),"",ReferenceData!$M$29),"")</f>
        <v>3679920</v>
      </c>
      <c r="AA29">
        <f ca="1">IFERROR(IF(0=LEN(ReferenceData!$L$29),"",ReferenceData!$L$29),"")</f>
        <v>3760390</v>
      </c>
      <c r="AB29">
        <f ca="1">IFERROR(IF(0=LEN(ReferenceData!$K$29),"",ReferenceData!$K$29),"")</f>
        <v>4313160</v>
      </c>
      <c r="AC29">
        <f ca="1">IFERROR(IF(0=LEN(ReferenceData!$J$29),"",ReferenceData!$J$29),"")</f>
        <v>4646020</v>
      </c>
      <c r="AD29">
        <f ca="1">IFERROR(IF(0=LEN(ReferenceData!$I$29),"",ReferenceData!$I$29),"")</f>
        <v>5220670</v>
      </c>
      <c r="AE29">
        <f ca="1">IFERROR(IF(0=LEN(ReferenceData!$H$29),"",ReferenceData!$H$29),"")</f>
        <v>5581050</v>
      </c>
      <c r="AF29">
        <f ca="1">IFERROR(IF(0=LEN(ReferenceData!$G$29),"",ReferenceData!$G$29),"")</f>
        <v>5989360</v>
      </c>
      <c r="AG29">
        <f ca="1">IFERROR(IF(0=LEN(ReferenceData!$F$29),"",ReferenceData!$F$29),"")</f>
        <v>6211410</v>
      </c>
    </row>
    <row r="30" spans="1:33" x14ac:dyDescent="0.25">
      <c r="A30" t="str">
        <f>IFERROR(IF(0=LEN(ReferenceData!$A$30),"",ReferenceData!$A$30),"")</f>
        <v xml:space="preserve">            Passive Equity ETFs</v>
      </c>
      <c r="B30" t="str">
        <f>IFERROR(IF(0=LEN(ReferenceData!$B$30),"",ReferenceData!$B$30),"")</f>
        <v/>
      </c>
      <c r="C30" t="str">
        <f>IFERROR(IF(0=LEN(ReferenceData!$C$30),"",ReferenceData!$C$30),"")</f>
        <v/>
      </c>
      <c r="D30" t="str">
        <f>IFERROR(IF(0=LEN(ReferenceData!$D$30),"",ReferenceData!$D$30),"")</f>
        <v/>
      </c>
      <c r="E30" t="str">
        <f>IFERROR(IF(0=LEN(ReferenceData!$E$30),"",ReferenceData!$E$30),"")</f>
        <v>Expression</v>
      </c>
      <c r="F30">
        <f ca="1">IFERROR(IF(0=LEN(ReferenceData!$AG$30),"",ReferenceData!$AG$30),"")</f>
        <v>807885</v>
      </c>
      <c r="G30">
        <f ca="1">IFERROR(IF(0=LEN(ReferenceData!$AF$30),"",ReferenceData!$AF$30),"")</f>
        <v>928707</v>
      </c>
      <c r="H30">
        <f ca="1">IFERROR(IF(0=LEN(ReferenceData!$AE$30),"",ReferenceData!$AE$30),"")</f>
        <v>1086130</v>
      </c>
      <c r="I30">
        <f ca="1">IFERROR(IF(0=LEN(ReferenceData!$AD$30),"",ReferenceData!$AD$30),"")</f>
        <v>1327860</v>
      </c>
      <c r="J30">
        <f ca="1">IFERROR(IF(0=LEN(ReferenceData!$AC$30),"",ReferenceData!$AC$30),"")</f>
        <v>1461890</v>
      </c>
      <c r="K30">
        <f ca="1">IFERROR(IF(0=LEN(ReferenceData!$AB$30),"",ReferenceData!$AB$30),"")</f>
        <v>1569620</v>
      </c>
      <c r="L30">
        <f ca="1">IFERROR(IF(0=LEN(ReferenceData!$AA$30),"",ReferenceData!$AA$30),"")</f>
        <v>1698980</v>
      </c>
      <c r="M30">
        <f ca="1">IFERROR(IF(0=LEN(ReferenceData!$Z$30),"",ReferenceData!$Z$30),"")</f>
        <v>1642090</v>
      </c>
      <c r="N30">
        <f ca="1">IFERROR(IF(0=LEN(ReferenceData!$Y$30),"",ReferenceData!$Y$30),"")</f>
        <v>1721130</v>
      </c>
      <c r="O30">
        <f ca="1">IFERROR(IF(0=LEN(ReferenceData!$X$30),"",ReferenceData!$X$30),"")</f>
        <v>2008340</v>
      </c>
      <c r="P30">
        <f ca="1">IFERROR(IF(0=LEN(ReferenceData!$W$30),"",ReferenceData!$W$30),"")</f>
        <v>2339420</v>
      </c>
      <c r="Q30">
        <f ca="1">IFERROR(IF(0=LEN(ReferenceData!$V$30),"",ReferenceData!$V$30),"")</f>
        <v>2759310</v>
      </c>
      <c r="R30">
        <f ca="1">IFERROR(IF(0=LEN(ReferenceData!$U$30),"",ReferenceData!$U$30),"")</f>
        <v>2824110</v>
      </c>
      <c r="S30">
        <f ca="1">IFERROR(IF(0=LEN(ReferenceData!$T$30),"",ReferenceData!$T$30),"")</f>
        <v>2642940</v>
      </c>
      <c r="T30">
        <f ca="1">IFERROR(IF(0=LEN(ReferenceData!$S$30),"",ReferenceData!$S$30),"")</f>
        <v>3088940</v>
      </c>
      <c r="U30">
        <f ca="1">IFERROR(IF(0=LEN(ReferenceData!$R$30),"",ReferenceData!$R$30),"")</f>
        <v>3445350</v>
      </c>
      <c r="V30">
        <f ca="1">IFERROR(IF(0=LEN(ReferenceData!$Q$30),"",ReferenceData!$Q$30),"")</f>
        <v>3260310</v>
      </c>
      <c r="W30">
        <f ca="1">IFERROR(IF(0=LEN(ReferenceData!$P$30),"",ReferenceData!$P$30),"")</f>
        <v>4165410</v>
      </c>
      <c r="X30">
        <f ca="1">IFERROR(IF(0=LEN(ReferenceData!$O$30),"",ReferenceData!$O$30),"")</f>
        <v>5021590</v>
      </c>
      <c r="Y30">
        <f ca="1">IFERROR(IF(0=LEN(ReferenceData!$N$30),"",ReferenceData!$N$30),"")</f>
        <v>5562200</v>
      </c>
      <c r="Z30">
        <f ca="1">IFERROR(IF(0=LEN(ReferenceData!$M$30),"",ReferenceData!$M$30),"")</f>
        <v>4645390</v>
      </c>
      <c r="AA30">
        <f ca="1">IFERROR(IF(0=LEN(ReferenceData!$L$30),"",ReferenceData!$L$30),"")</f>
        <v>4842470</v>
      </c>
      <c r="AB30">
        <f ca="1">IFERROR(IF(0=LEN(ReferenceData!$K$30),"",ReferenceData!$K$30),"")</f>
        <v>5438010</v>
      </c>
      <c r="AC30">
        <f ca="1">IFERROR(IF(0=LEN(ReferenceData!$J$30),"",ReferenceData!$J$30),"")</f>
        <v>6033180</v>
      </c>
      <c r="AD30">
        <f ca="1">IFERROR(IF(0=LEN(ReferenceData!$I$30),"",ReferenceData!$I$30),"")</f>
        <v>6910130</v>
      </c>
      <c r="AE30">
        <f ca="1">IFERROR(IF(0=LEN(ReferenceData!$H$30),"",ReferenceData!$H$30),"")</f>
        <v>7695150</v>
      </c>
      <c r="AF30">
        <f ca="1">IFERROR(IF(0=LEN(ReferenceData!$G$30),"",ReferenceData!$G$30),"")</f>
        <v>8379840</v>
      </c>
      <c r="AG30">
        <f ca="1">IFERROR(IF(0=LEN(ReferenceData!$F$30),"",ReferenceData!$F$30),"")</f>
        <v>9406290</v>
      </c>
    </row>
    <row r="31" spans="1:33" x14ac:dyDescent="0.25">
      <c r="A31" t="str">
        <f>IFERROR(IF(0=LEN(ReferenceData!$A$31),"",ReferenceData!$A$31),"")</f>
        <v xml:space="preserve">        Active Equity</v>
      </c>
      <c r="B31" t="str">
        <f>IFERROR(IF(0=LEN(ReferenceData!$B$31),"",ReferenceData!$B$31),"")</f>
        <v>.BIATATE G Index</v>
      </c>
      <c r="C31" t="str">
        <f>IFERROR(IF(0=LEN(ReferenceData!$C$31),"",ReferenceData!$C$31),"")</f>
        <v>PR005</v>
      </c>
      <c r="D31" t="str">
        <f>IFERROR(IF(0=LEN(ReferenceData!$D$31),"",ReferenceData!$D$31),"")</f>
        <v>PX_LAST</v>
      </c>
      <c r="E31" t="str">
        <f>IFERROR(IF(0=LEN(ReferenceData!$E$31),"",ReferenceData!$E$31),"")</f>
        <v>Dynamic</v>
      </c>
      <c r="F31">
        <f ca="1">IFERROR(IF(0=LEN(ReferenceData!$AG$31),"",ReferenceData!$AG$31),"")</f>
        <v>3449510</v>
      </c>
      <c r="G31">
        <f ca="1">IFERROR(IF(0=LEN(ReferenceData!$AF$31),"",ReferenceData!$AF$31),"")</f>
        <v>3753280</v>
      </c>
      <c r="H31">
        <f ca="1">IFERROR(IF(0=LEN(ReferenceData!$AE$31),"",ReferenceData!$AE$31),"")</f>
        <v>4257880</v>
      </c>
      <c r="I31">
        <f ca="1">IFERROR(IF(0=LEN(ReferenceData!$AD$31),"",ReferenceData!$AD$31),"")</f>
        <v>5005450</v>
      </c>
      <c r="J31">
        <f ca="1">IFERROR(IF(0=LEN(ReferenceData!$AC$31),"",ReferenceData!$AC$31),"")</f>
        <v>5433580</v>
      </c>
      <c r="K31">
        <f ca="1">IFERROR(IF(0=LEN(ReferenceData!$AB$31),"",ReferenceData!$AB$31),"")</f>
        <v>5364090</v>
      </c>
      <c r="L31">
        <f ca="1">IFERROR(IF(0=LEN(ReferenceData!$AA$31),"",ReferenceData!$AA$31),"")</f>
        <v>5553850</v>
      </c>
      <c r="M31">
        <f ca="1">IFERROR(IF(0=LEN(ReferenceData!$Z$31),"",ReferenceData!$Z$31),"")</f>
        <v>5163310</v>
      </c>
      <c r="N31">
        <f ca="1">IFERROR(IF(0=LEN(ReferenceData!$Y$31),"",ReferenceData!$Y$31),"")</f>
        <v>5220480</v>
      </c>
      <c r="O31">
        <f ca="1">IFERROR(IF(0=LEN(ReferenceData!$X$31),"",ReferenceData!$X$31),"")</f>
        <v>5387780</v>
      </c>
      <c r="P31">
        <f ca="1">IFERROR(IF(0=LEN(ReferenceData!$W$31),"",ReferenceData!$W$31),"")</f>
        <v>5928720</v>
      </c>
      <c r="Q31">
        <f ca="1">IFERROR(IF(0=LEN(ReferenceData!$V$31),"",ReferenceData!$V$31),"")</f>
        <v>6419860</v>
      </c>
      <c r="R31">
        <f ca="1">IFERROR(IF(0=LEN(ReferenceData!$U$31),"",ReferenceData!$U$31),"")</f>
        <v>6528160</v>
      </c>
      <c r="S31">
        <f ca="1">IFERROR(IF(0=LEN(ReferenceData!$T$31),"",ReferenceData!$T$31),"")</f>
        <v>5527920</v>
      </c>
      <c r="T31">
        <f ca="1">IFERROR(IF(0=LEN(ReferenceData!$S$31),"",ReferenceData!$S$31),"")</f>
        <v>6310890</v>
      </c>
      <c r="U31">
        <f ca="1">IFERROR(IF(0=LEN(ReferenceData!$R$31),"",ReferenceData!$R$31),"")</f>
        <v>6875650</v>
      </c>
      <c r="V31">
        <f ca="1">IFERROR(IF(0=LEN(ReferenceData!$Q$31),"",ReferenceData!$Q$31),"")</f>
        <v>6547420</v>
      </c>
      <c r="W31">
        <f ca="1">IFERROR(IF(0=LEN(ReferenceData!$P$31),"",ReferenceData!$P$31),"")</f>
        <v>7839780</v>
      </c>
      <c r="X31">
        <f ca="1">IFERROR(IF(0=LEN(ReferenceData!$O$31),"",ReferenceData!$O$31),"")</f>
        <v>8752850</v>
      </c>
      <c r="Y31">
        <f ca="1">IFERROR(IF(0=LEN(ReferenceData!$N$31),"",ReferenceData!$N$31),"")</f>
        <v>8956440</v>
      </c>
      <c r="Z31">
        <f ca="1">IFERROR(IF(0=LEN(ReferenceData!$M$31),"",ReferenceData!$M$31),"")</f>
        <v>6906620</v>
      </c>
      <c r="AA31">
        <f ca="1">IFERROR(IF(0=LEN(ReferenceData!$L$31),"",ReferenceData!$L$31),"")</f>
        <v>6828460</v>
      </c>
      <c r="AB31">
        <f ca="1">IFERROR(IF(0=LEN(ReferenceData!$K$31),"",ReferenceData!$K$31),"")</f>
        <v>7539810</v>
      </c>
      <c r="AC31">
        <f ca="1">IFERROR(IF(0=LEN(ReferenceData!$J$31),"",ReferenceData!$J$31),"")</f>
        <v>7914730</v>
      </c>
      <c r="AD31">
        <f ca="1">IFERROR(IF(0=LEN(ReferenceData!$I$31),"",ReferenceData!$I$31),"")</f>
        <v>8705020</v>
      </c>
      <c r="AE31">
        <f ca="1">IFERROR(IF(0=LEN(ReferenceData!$H$31),"",ReferenceData!$H$31),"")</f>
        <v>8856760</v>
      </c>
      <c r="AF31">
        <f ca="1">IFERROR(IF(0=LEN(ReferenceData!$G$31),"",ReferenceData!$G$31),"")</f>
        <v>9349890</v>
      </c>
      <c r="AG31">
        <f ca="1">IFERROR(IF(0=LEN(ReferenceData!$F$31),"",ReferenceData!$F$31),"")</f>
        <v>9913250</v>
      </c>
    </row>
    <row r="32" spans="1:33" x14ac:dyDescent="0.25">
      <c r="A32" t="str">
        <f>IFERROR(IF(0=LEN(ReferenceData!$A$32),"",ReferenceData!$A$32),"")</f>
        <v xml:space="preserve">            Active Equity Mutual Funds</v>
      </c>
      <c r="B32" t="str">
        <f>IFERROR(IF(0=LEN(ReferenceData!$B$32),"",ReferenceData!$B$32),"")</f>
        <v>.BIAMATE G Index</v>
      </c>
      <c r="C32" t="str">
        <f>IFERROR(IF(0=LEN(ReferenceData!$C$32),"",ReferenceData!$C$32),"")</f>
        <v>PR005</v>
      </c>
      <c r="D32" t="str">
        <f>IFERROR(IF(0=LEN(ReferenceData!$D$32),"",ReferenceData!$D$32),"")</f>
        <v>PX_LAST</v>
      </c>
      <c r="E32" t="str">
        <f>IFERROR(IF(0=LEN(ReferenceData!$E$32),"",ReferenceData!$E$32),"")</f>
        <v>Dynamic</v>
      </c>
      <c r="F32">
        <f ca="1">IFERROR(IF(0=LEN(ReferenceData!$AG$32),"",ReferenceData!$AG$32),"")</f>
        <v>3429440</v>
      </c>
      <c r="G32">
        <f ca="1">IFERROR(IF(0=LEN(ReferenceData!$AF$32),"",ReferenceData!$AF$32),"")</f>
        <v>3730730</v>
      </c>
      <c r="H32">
        <f ca="1">IFERROR(IF(0=LEN(ReferenceData!$AE$32),"",ReferenceData!$AE$32),"")</f>
        <v>4230840</v>
      </c>
      <c r="I32">
        <f ca="1">IFERROR(IF(0=LEN(ReferenceData!$AD$32),"",ReferenceData!$AD$32),"")</f>
        <v>4972970</v>
      </c>
      <c r="J32">
        <f ca="1">IFERROR(IF(0=LEN(ReferenceData!$AC$32),"",ReferenceData!$AC$32),"")</f>
        <v>5395910</v>
      </c>
      <c r="K32">
        <f ca="1">IFERROR(IF(0=LEN(ReferenceData!$AB$32),"",ReferenceData!$AB$32),"")</f>
        <v>5324460</v>
      </c>
      <c r="L32">
        <f ca="1">IFERROR(IF(0=LEN(ReferenceData!$AA$32),"",ReferenceData!$AA$32),"")</f>
        <v>5509060</v>
      </c>
      <c r="M32">
        <f ca="1">IFERROR(IF(0=LEN(ReferenceData!$Z$32),"",ReferenceData!$Z$32),"")</f>
        <v>5121620</v>
      </c>
      <c r="N32">
        <f ca="1">IFERROR(IF(0=LEN(ReferenceData!$Y$32),"",ReferenceData!$Y$32),"")</f>
        <v>5174440</v>
      </c>
      <c r="O32">
        <f ca="1">IFERROR(IF(0=LEN(ReferenceData!$X$32),"",ReferenceData!$X$32),"")</f>
        <v>5333280</v>
      </c>
      <c r="P32">
        <f ca="1">IFERROR(IF(0=LEN(ReferenceData!$W$32),"",ReferenceData!$W$32),"")</f>
        <v>5867980</v>
      </c>
      <c r="Q32">
        <f ca="1">IFERROR(IF(0=LEN(ReferenceData!$V$32),"",ReferenceData!$V$32),"")</f>
        <v>6345860</v>
      </c>
      <c r="R32">
        <f ca="1">IFERROR(IF(0=LEN(ReferenceData!$U$32),"",ReferenceData!$U$32),"")</f>
        <v>6446000</v>
      </c>
      <c r="S32">
        <f ca="1">IFERROR(IF(0=LEN(ReferenceData!$T$32),"",ReferenceData!$T$32),"")</f>
        <v>5457240</v>
      </c>
      <c r="T32">
        <f ca="1">IFERROR(IF(0=LEN(ReferenceData!$S$32),"",ReferenceData!$S$32),"")</f>
        <v>6227260</v>
      </c>
      <c r="U32">
        <f ca="1">IFERROR(IF(0=LEN(ReferenceData!$R$32),"",ReferenceData!$R$32),"")</f>
        <v>6783820</v>
      </c>
      <c r="V32">
        <f ca="1">IFERROR(IF(0=LEN(ReferenceData!$Q$32),"",ReferenceData!$Q$32),"")</f>
        <v>6460670</v>
      </c>
      <c r="W32">
        <f ca="1">IFERROR(IF(0=LEN(ReferenceData!$P$32),"",ReferenceData!$P$32),"")</f>
        <v>7701210</v>
      </c>
      <c r="X32">
        <f ca="1">IFERROR(IF(0=LEN(ReferenceData!$O$32),"",ReferenceData!$O$32),"")</f>
        <v>8564790</v>
      </c>
      <c r="Y32">
        <f ca="1">IFERROR(IF(0=LEN(ReferenceData!$N$32),"",ReferenceData!$N$32),"")</f>
        <v>8755200</v>
      </c>
      <c r="Z32">
        <f ca="1">IFERROR(IF(0=LEN(ReferenceData!$M$32),"",ReferenceData!$M$32),"")</f>
        <v>6701310</v>
      </c>
      <c r="AA32">
        <f ca="1">IFERROR(IF(0=LEN(ReferenceData!$L$32),"",ReferenceData!$L$32),"")</f>
        <v>6578750</v>
      </c>
      <c r="AB32">
        <f ca="1">IFERROR(IF(0=LEN(ReferenceData!$K$32),"",ReferenceData!$K$32),"")</f>
        <v>7218560</v>
      </c>
      <c r="AC32">
        <f ca="1">IFERROR(IF(0=LEN(ReferenceData!$J$32),"",ReferenceData!$J$32),"")</f>
        <v>7526760</v>
      </c>
      <c r="AD32">
        <f ca="1">IFERROR(IF(0=LEN(ReferenceData!$I$32),"",ReferenceData!$I$32),"")</f>
        <v>8204750</v>
      </c>
      <c r="AE32">
        <f ca="1">IFERROR(IF(0=LEN(ReferenceData!$H$32),"",ReferenceData!$H$32),"")</f>
        <v>8241660</v>
      </c>
      <c r="AF32">
        <f ca="1">IFERROR(IF(0=LEN(ReferenceData!$G$32),"",ReferenceData!$G$32),"")</f>
        <v>8593660</v>
      </c>
      <c r="AG32">
        <f ca="1">IFERROR(IF(0=LEN(ReferenceData!$F$32),"",ReferenceData!$F$32),"")</f>
        <v>9003600</v>
      </c>
    </row>
    <row r="33" spans="1:33" x14ac:dyDescent="0.25">
      <c r="A33" t="str">
        <f>IFERROR(IF(0=LEN(ReferenceData!$A$33),"",ReferenceData!$A$33),"")</f>
        <v xml:space="preserve">            Active Equity ETFs</v>
      </c>
      <c r="B33" t="str">
        <f>IFERROR(IF(0=LEN(ReferenceData!$B$33),"",ReferenceData!$B$33),"")</f>
        <v/>
      </c>
      <c r="C33" t="str">
        <f>IFERROR(IF(0=LEN(ReferenceData!$C$33),"",ReferenceData!$C$33),"")</f>
        <v/>
      </c>
      <c r="D33" t="str">
        <f>IFERROR(IF(0=LEN(ReferenceData!$D$33),"",ReferenceData!$D$33),"")</f>
        <v/>
      </c>
      <c r="E33" t="str">
        <f>IFERROR(IF(0=LEN(ReferenceData!$E$33),"",ReferenceData!$E$33),"")</f>
        <v>Expression</v>
      </c>
      <c r="F33">
        <f ca="1">IFERROR(IF(0=LEN(ReferenceData!$AG$33),"",ReferenceData!$AG$33),"")</f>
        <v>20070</v>
      </c>
      <c r="G33">
        <f ca="1">IFERROR(IF(0=LEN(ReferenceData!$AF$33),"",ReferenceData!$AF$33),"")</f>
        <v>22550</v>
      </c>
      <c r="H33">
        <f ca="1">IFERROR(IF(0=LEN(ReferenceData!$AE$33),"",ReferenceData!$AE$33),"")</f>
        <v>27040</v>
      </c>
      <c r="I33">
        <f ca="1">IFERROR(IF(0=LEN(ReferenceData!$AD$33),"",ReferenceData!$AD$33),"")</f>
        <v>32480</v>
      </c>
      <c r="J33">
        <f ca="1">IFERROR(IF(0=LEN(ReferenceData!$AC$33),"",ReferenceData!$AC$33),"")</f>
        <v>37670</v>
      </c>
      <c r="K33">
        <f ca="1">IFERROR(IF(0=LEN(ReferenceData!$AB$33),"",ReferenceData!$AB$33),"")</f>
        <v>39630</v>
      </c>
      <c r="L33">
        <f ca="1">IFERROR(IF(0=LEN(ReferenceData!$AA$33),"",ReferenceData!$AA$33),"")</f>
        <v>44790</v>
      </c>
      <c r="M33">
        <f ca="1">IFERROR(IF(0=LEN(ReferenceData!$Z$33),"",ReferenceData!$Z$33),"")</f>
        <v>41690</v>
      </c>
      <c r="N33">
        <f ca="1">IFERROR(IF(0=LEN(ReferenceData!$Y$33),"",ReferenceData!$Y$33),"")</f>
        <v>46040</v>
      </c>
      <c r="O33">
        <f ca="1">IFERROR(IF(0=LEN(ReferenceData!$X$33),"",ReferenceData!$X$33),"")</f>
        <v>54500</v>
      </c>
      <c r="P33">
        <f ca="1">IFERROR(IF(0=LEN(ReferenceData!$W$33),"",ReferenceData!$W$33),"")</f>
        <v>60740</v>
      </c>
      <c r="Q33">
        <f ca="1">IFERROR(IF(0=LEN(ReferenceData!$V$33),"",ReferenceData!$V$33),"")</f>
        <v>74000</v>
      </c>
      <c r="R33">
        <f ca="1">IFERROR(IF(0=LEN(ReferenceData!$U$33),"",ReferenceData!$U$33),"")</f>
        <v>82160</v>
      </c>
      <c r="S33">
        <f ca="1">IFERROR(IF(0=LEN(ReferenceData!$T$33),"",ReferenceData!$T$33),"")</f>
        <v>70680</v>
      </c>
      <c r="T33">
        <f ca="1">IFERROR(IF(0=LEN(ReferenceData!$S$33),"",ReferenceData!$S$33),"")</f>
        <v>83630</v>
      </c>
      <c r="U33">
        <f ca="1">IFERROR(IF(0=LEN(ReferenceData!$R$33),"",ReferenceData!$R$33),"")</f>
        <v>91830</v>
      </c>
      <c r="V33">
        <f ca="1">IFERROR(IF(0=LEN(ReferenceData!$Q$33),"",ReferenceData!$Q$33),"")</f>
        <v>86750</v>
      </c>
      <c r="W33">
        <f ca="1">IFERROR(IF(0=LEN(ReferenceData!$P$33),"",ReferenceData!$P$33),"")</f>
        <v>138570</v>
      </c>
      <c r="X33">
        <f ca="1">IFERROR(IF(0=LEN(ReferenceData!$O$33),"",ReferenceData!$O$33),"")</f>
        <v>188060</v>
      </c>
      <c r="Y33">
        <f ca="1">IFERROR(IF(0=LEN(ReferenceData!$N$33),"",ReferenceData!$N$33),"")</f>
        <v>201240</v>
      </c>
      <c r="Z33">
        <f ca="1">IFERROR(IF(0=LEN(ReferenceData!$M$33),"",ReferenceData!$M$33),"")</f>
        <v>205310</v>
      </c>
      <c r="AA33">
        <f ca="1">IFERROR(IF(0=LEN(ReferenceData!$L$33),"",ReferenceData!$L$33),"")</f>
        <v>249710</v>
      </c>
      <c r="AB33">
        <f ca="1">IFERROR(IF(0=LEN(ReferenceData!$K$33),"",ReferenceData!$K$33),"")</f>
        <v>321250</v>
      </c>
      <c r="AC33">
        <f ca="1">IFERROR(IF(0=LEN(ReferenceData!$J$33),"",ReferenceData!$J$33),"")</f>
        <v>387970</v>
      </c>
      <c r="AD33">
        <f ca="1">IFERROR(IF(0=LEN(ReferenceData!$I$33),"",ReferenceData!$I$33),"")</f>
        <v>500270</v>
      </c>
      <c r="AE33">
        <f ca="1">IFERROR(IF(0=LEN(ReferenceData!$H$33),"",ReferenceData!$H$33),"")</f>
        <v>615100</v>
      </c>
      <c r="AF33">
        <f ca="1">IFERROR(IF(0=LEN(ReferenceData!$G$33),"",ReferenceData!$G$33),"")</f>
        <v>756230</v>
      </c>
      <c r="AG33">
        <f ca="1">IFERROR(IF(0=LEN(ReferenceData!$F$33),"",ReferenceData!$F$33),"")</f>
        <v>909650</v>
      </c>
    </row>
    <row r="34" spans="1:33" x14ac:dyDescent="0.25">
      <c r="A34" t="str">
        <f>IFERROR(IF(0=LEN(ReferenceData!$A$34),"",ReferenceData!$A$34),"")</f>
        <v xml:space="preserve">    Domestic Equity Funds</v>
      </c>
      <c r="B34" t="str">
        <f>IFERROR(IF(0=LEN(ReferenceData!$B$34),"",ReferenceData!$B$34),"")</f>
        <v/>
      </c>
      <c r="C34" t="str">
        <f>IFERROR(IF(0=LEN(ReferenceData!$C$34),"",ReferenceData!$C$34),"")</f>
        <v/>
      </c>
      <c r="D34" t="str">
        <f>IFERROR(IF(0=LEN(ReferenceData!$D$34),"",ReferenceData!$D$34),"")</f>
        <v/>
      </c>
      <c r="E34" t="str">
        <f>IFERROR(IF(0=LEN(ReferenceData!$E$34),"",ReferenceData!$E$34),"")</f>
        <v>Sum</v>
      </c>
      <c r="F34">
        <f ca="1">IFERROR(IF(0=LEN(ReferenceData!$AG$34),"",ReferenceData!$AG$34),"")</f>
        <v>3667440</v>
      </c>
      <c r="G34">
        <f ca="1">IFERROR(IF(0=LEN(ReferenceData!$AF$34),"",ReferenceData!$AF$34),"")</f>
        <v>3924580</v>
      </c>
      <c r="H34">
        <f ca="1">IFERROR(IF(0=LEN(ReferenceData!$AE$34),"",ReferenceData!$AE$34),"")</f>
        <v>4617360</v>
      </c>
      <c r="I34">
        <f ca="1">IFERROR(IF(0=LEN(ReferenceData!$AD$34),"",ReferenceData!$AD$34),"")</f>
        <v>5469030</v>
      </c>
      <c r="J34">
        <f ca="1">IFERROR(IF(0=LEN(ReferenceData!$AC$34),"",ReferenceData!$AC$34),"")</f>
        <v>5918210</v>
      </c>
      <c r="K34">
        <f ca="1">IFERROR(IF(0=LEN(ReferenceData!$AB$34),"",ReferenceData!$AB$34),"")</f>
        <v>6186470</v>
      </c>
      <c r="L34">
        <f ca="1">IFERROR(IF(0=LEN(ReferenceData!$AA$34),"",ReferenceData!$AA$34),"")</f>
        <v>6348120</v>
      </c>
      <c r="M34">
        <f ca="1">IFERROR(IF(0=LEN(ReferenceData!$Z$34),"",ReferenceData!$Z$34),"")</f>
        <v>6100060</v>
      </c>
      <c r="N34">
        <f ca="1">IFERROR(IF(0=LEN(ReferenceData!$Y$34),"",ReferenceData!$Y$34),"")</f>
        <v>6317140</v>
      </c>
      <c r="O34">
        <f ca="1">IFERROR(IF(0=LEN(ReferenceData!$X$34),"",ReferenceData!$X$34),"")</f>
        <v>6851380</v>
      </c>
      <c r="P34">
        <f ca="1">IFERROR(IF(0=LEN(ReferenceData!$W$34),"",ReferenceData!$W$34),"")</f>
        <v>7581040</v>
      </c>
      <c r="Q34">
        <f ca="1">IFERROR(IF(0=LEN(ReferenceData!$V$34),"",ReferenceData!$V$34),"")</f>
        <v>8345110</v>
      </c>
      <c r="R34">
        <f ca="1">IFERROR(IF(0=LEN(ReferenceData!$U$34),"",ReferenceData!$U$34),"")</f>
        <v>8680600</v>
      </c>
      <c r="S34">
        <f ca="1">IFERROR(IF(0=LEN(ReferenceData!$T$34),"",ReferenceData!$T$34),"")</f>
        <v>7751880</v>
      </c>
      <c r="T34">
        <f ca="1">IFERROR(IF(0=LEN(ReferenceData!$S$34),"",ReferenceData!$S$34),"")</f>
        <v>9133080</v>
      </c>
      <c r="U34">
        <f ca="1">IFERROR(IF(0=LEN(ReferenceData!$R$34),"",ReferenceData!$R$34),"")</f>
        <v>10013050</v>
      </c>
      <c r="V34">
        <f ca="1">IFERROR(IF(0=LEN(ReferenceData!$Q$34),"",ReferenceData!$Q$34),"")</f>
        <v>9628890</v>
      </c>
      <c r="W34">
        <f ca="1">IFERROR(IF(0=LEN(ReferenceData!$P$34),"",ReferenceData!$P$34),"")</f>
        <v>11698190</v>
      </c>
      <c r="X34">
        <f ca="1">IFERROR(IF(0=LEN(ReferenceData!$O$34),"",ReferenceData!$O$34),"")</f>
        <v>13547000</v>
      </c>
      <c r="Y34">
        <f ca="1">IFERROR(IF(0=LEN(ReferenceData!$N$34),"",ReferenceData!$N$34),"")</f>
        <v>14593150</v>
      </c>
      <c r="Z34">
        <f ca="1">IFERROR(IF(0=LEN(ReferenceData!$M$34),"",ReferenceData!$M$34),"")</f>
        <v>11648480</v>
      </c>
      <c r="AA34">
        <f ca="1">IFERROR(IF(0=LEN(ReferenceData!$L$34),"",ReferenceData!$L$34),"")</f>
        <v>11829260</v>
      </c>
      <c r="AB34">
        <f ca="1">IFERROR(IF(0=LEN(ReferenceData!$K$34),"",ReferenceData!$K$34),"")</f>
        <v>13349890</v>
      </c>
      <c r="AC34">
        <f ca="1">IFERROR(IF(0=LEN(ReferenceData!$J$34),"",ReferenceData!$J$34),"")</f>
        <v>14505300</v>
      </c>
      <c r="AD34">
        <f ca="1">IFERROR(IF(0=LEN(ReferenceData!$I$34),"",ReferenceData!$I$34),"")</f>
        <v>16427360</v>
      </c>
      <c r="AE34">
        <f ca="1">IFERROR(IF(0=LEN(ReferenceData!$H$34),"",ReferenceData!$H$34),"")</f>
        <v>17774630</v>
      </c>
      <c r="AF34">
        <f ca="1">IFERROR(IF(0=LEN(ReferenceData!$G$34),"",ReferenceData!$G$34),"")</f>
        <v>18668120</v>
      </c>
      <c r="AG34">
        <f ca="1">IFERROR(IF(0=LEN(ReferenceData!$F$34),"",ReferenceData!$F$34),"")</f>
        <v>19979730</v>
      </c>
    </row>
    <row r="35" spans="1:33" x14ac:dyDescent="0.25">
      <c r="A35" t="str">
        <f>IFERROR(IF(0=LEN(ReferenceData!$A$35),"",ReferenceData!$A$35),"")</f>
        <v xml:space="preserve">        Passive Domestic Equity</v>
      </c>
      <c r="B35" t="str">
        <f>IFERROR(IF(0=LEN(ReferenceData!$B$35),"",ReferenceData!$B$35),"")</f>
        <v>.BIATPDE G Index</v>
      </c>
      <c r="C35" t="str">
        <f>IFERROR(IF(0=LEN(ReferenceData!$C$35),"",ReferenceData!$C$35),"")</f>
        <v>PR005</v>
      </c>
      <c r="D35" t="str">
        <f>IFERROR(IF(0=LEN(ReferenceData!$D$35),"",ReferenceData!$D$35),"")</f>
        <v>PX_LAST</v>
      </c>
      <c r="E35" t="str">
        <f>IFERROR(IF(0=LEN(ReferenceData!$E$35),"",ReferenceData!$E$35),"")</f>
        <v>Dynamic</v>
      </c>
      <c r="F35">
        <f ca="1">IFERROR(IF(0=LEN(ReferenceData!$AG$35),"",ReferenceData!$AG$35),"")</f>
        <v>1270680</v>
      </c>
      <c r="G35">
        <f ca="1">IFERROR(IF(0=LEN(ReferenceData!$AF$35),"",ReferenceData!$AF$35),"")</f>
        <v>1379420</v>
      </c>
      <c r="H35">
        <f ca="1">IFERROR(IF(0=LEN(ReferenceData!$AE$35),"",ReferenceData!$AE$35),"")</f>
        <v>1690340</v>
      </c>
      <c r="I35">
        <f ca="1">IFERROR(IF(0=LEN(ReferenceData!$AD$35),"",ReferenceData!$AD$35),"")</f>
        <v>2042170</v>
      </c>
      <c r="J35">
        <f ca="1">IFERROR(IF(0=LEN(ReferenceData!$AC$35),"",ReferenceData!$AC$35),"")</f>
        <v>2253120</v>
      </c>
      <c r="K35">
        <f ca="1">IFERROR(IF(0=LEN(ReferenceData!$AB$35),"",ReferenceData!$AB$35),"")</f>
        <v>2483870</v>
      </c>
      <c r="L35">
        <f ca="1">IFERROR(IF(0=LEN(ReferenceData!$AA$35),"",ReferenceData!$AA$35),"")</f>
        <v>2574320</v>
      </c>
      <c r="M35">
        <f ca="1">IFERROR(IF(0=LEN(ReferenceData!$Z$35),"",ReferenceData!$Z$35),"")</f>
        <v>2549620</v>
      </c>
      <c r="N35">
        <f ca="1">IFERROR(IF(0=LEN(ReferenceData!$Y$35),"",ReferenceData!$Y$35),"")</f>
        <v>2728850</v>
      </c>
      <c r="O35">
        <f ca="1">IFERROR(IF(0=LEN(ReferenceData!$X$35),"",ReferenceData!$X$35),"")</f>
        <v>3112890</v>
      </c>
      <c r="P35">
        <f ca="1">IFERROR(IF(0=LEN(ReferenceData!$W$35),"",ReferenceData!$W$35),"")</f>
        <v>3535910</v>
      </c>
      <c r="Q35">
        <f ca="1">IFERROR(IF(0=LEN(ReferenceData!$V$35),"",ReferenceData!$V$35),"")</f>
        <v>4035350</v>
      </c>
      <c r="R35">
        <f ca="1">IFERROR(IF(0=LEN(ReferenceData!$U$35),"",ReferenceData!$U$35),"")</f>
        <v>4218050</v>
      </c>
      <c r="S35">
        <f ca="1">IFERROR(IF(0=LEN(ReferenceData!$T$35),"",ReferenceData!$T$35),"")</f>
        <v>3940280</v>
      </c>
      <c r="T35">
        <f ca="1">IFERROR(IF(0=LEN(ReferenceData!$S$35),"",ReferenceData!$S$35),"")</f>
        <v>4728930</v>
      </c>
      <c r="U35">
        <f ca="1">IFERROR(IF(0=LEN(ReferenceData!$R$35),"",ReferenceData!$R$35),"")</f>
        <v>5248890</v>
      </c>
      <c r="V35">
        <f ca="1">IFERROR(IF(0=LEN(ReferenceData!$Q$35),"",ReferenceData!$Q$35),"")</f>
        <v>5032850</v>
      </c>
      <c r="W35">
        <f ca="1">IFERROR(IF(0=LEN(ReferenceData!$P$35),"",ReferenceData!$P$35),"")</f>
        <v>6238940</v>
      </c>
      <c r="X35">
        <f ca="1">IFERROR(IF(0=LEN(ReferenceData!$O$35),"",ReferenceData!$O$35),"")</f>
        <v>7386620</v>
      </c>
      <c r="Y35">
        <f ca="1">IFERROR(IF(0=LEN(ReferenceData!$N$35),"",ReferenceData!$N$35),"")</f>
        <v>8202730</v>
      </c>
      <c r="Z35">
        <f ca="1">IFERROR(IF(0=LEN(ReferenceData!$M$35),"",ReferenceData!$M$35),"")</f>
        <v>6721610</v>
      </c>
      <c r="AA35">
        <f ca="1">IFERROR(IF(0=LEN(ReferenceData!$L$35),"",ReferenceData!$L$35),"")</f>
        <v>6943490</v>
      </c>
      <c r="AB35">
        <f ca="1">IFERROR(IF(0=LEN(ReferenceData!$K$35),"",ReferenceData!$K$35),"")</f>
        <v>7930160</v>
      </c>
      <c r="AC35">
        <f ca="1">IFERROR(IF(0=LEN(ReferenceData!$J$35),"",ReferenceData!$J$35),"")</f>
        <v>8758300</v>
      </c>
      <c r="AD35">
        <f ca="1">IFERROR(IF(0=LEN(ReferenceData!$I$35),"",ReferenceData!$I$35),"")</f>
        <v>10049400</v>
      </c>
      <c r="AE35">
        <f ca="1">IFERROR(IF(0=LEN(ReferenceData!$H$35),"",ReferenceData!$H$35),"")</f>
        <v>11190700</v>
      </c>
      <c r="AF35">
        <f ca="1">IFERROR(IF(0=LEN(ReferenceData!$G$35),"",ReferenceData!$G$35),"")</f>
        <v>11885100</v>
      </c>
      <c r="AG35">
        <f ca="1">IFERROR(IF(0=LEN(ReferenceData!$F$35),"",ReferenceData!$F$35),"")</f>
        <v>12814100</v>
      </c>
    </row>
    <row r="36" spans="1:33" x14ac:dyDescent="0.25">
      <c r="A36" t="str">
        <f>IFERROR(IF(0=LEN(ReferenceData!$A$36),"",ReferenceData!$A$36),"")</f>
        <v xml:space="preserve">            Passive Domestic Equity Mutual Funds</v>
      </c>
      <c r="B36" t="str">
        <f>IFERROR(IF(0=LEN(ReferenceData!$B$36),"",ReferenceData!$B$36),"")</f>
        <v>.BIAMPDE G Index</v>
      </c>
      <c r="C36" t="str">
        <f>IFERROR(IF(0=LEN(ReferenceData!$C$36),"",ReferenceData!$C$36),"")</f>
        <v>PR005</v>
      </c>
      <c r="D36" t="str">
        <f>IFERROR(IF(0=LEN(ReferenceData!$D$36),"",ReferenceData!$D$36),"")</f>
        <v>PX_LAST</v>
      </c>
      <c r="E36" t="str">
        <f>IFERROR(IF(0=LEN(ReferenceData!$E$36),"",ReferenceData!$E$36),"")</f>
        <v>Dynamic</v>
      </c>
      <c r="F36">
        <f ca="1">IFERROR(IF(0=LEN(ReferenceData!$AG$36),"",ReferenceData!$AG$36),"")</f>
        <v>717046</v>
      </c>
      <c r="G36">
        <f ca="1">IFERROR(IF(0=LEN(ReferenceData!$AF$36),"",ReferenceData!$AF$36),"")</f>
        <v>779408</v>
      </c>
      <c r="H36">
        <f ca="1">IFERROR(IF(0=LEN(ReferenceData!$AE$36),"",ReferenceData!$AE$36),"")</f>
        <v>922778</v>
      </c>
      <c r="I36">
        <f ca="1">IFERROR(IF(0=LEN(ReferenceData!$AD$36),"",ReferenceData!$AD$36),"")</f>
        <v>1103640</v>
      </c>
      <c r="J36">
        <f ca="1">IFERROR(IF(0=LEN(ReferenceData!$AC$36),"",ReferenceData!$AC$36),"")</f>
        <v>1226410</v>
      </c>
      <c r="K36">
        <f ca="1">IFERROR(IF(0=LEN(ReferenceData!$AB$36),"",ReferenceData!$AB$36),"")</f>
        <v>1320160</v>
      </c>
      <c r="L36">
        <f ca="1">IFERROR(IF(0=LEN(ReferenceData!$AA$36),"",ReferenceData!$AA$36),"")</f>
        <v>1384710</v>
      </c>
      <c r="M36">
        <f ca="1">IFERROR(IF(0=LEN(ReferenceData!$Z$36),"",ReferenceData!$Z$36),"")</f>
        <v>1366790</v>
      </c>
      <c r="N36">
        <f ca="1">IFERROR(IF(0=LEN(ReferenceData!$Y$36),"",ReferenceData!$Y$36),"")</f>
        <v>1466350</v>
      </c>
      <c r="O36">
        <f ca="1">IFERROR(IF(0=LEN(ReferenceData!$X$36),"",ReferenceData!$X$36),"")</f>
        <v>1603580</v>
      </c>
      <c r="P36">
        <f ca="1">IFERROR(IF(0=LEN(ReferenceData!$W$36),"",ReferenceData!$W$36),"")</f>
        <v>1849700</v>
      </c>
      <c r="Q36">
        <f ca="1">IFERROR(IF(0=LEN(ReferenceData!$V$36),"",ReferenceData!$V$36),"")</f>
        <v>2068520</v>
      </c>
      <c r="R36">
        <f ca="1">IFERROR(IF(0=LEN(ReferenceData!$U$36),"",ReferenceData!$U$36),"")</f>
        <v>2166230</v>
      </c>
      <c r="S36">
        <f ca="1">IFERROR(IF(0=LEN(ReferenceData!$T$36),"",ReferenceData!$T$36),"")</f>
        <v>2021960</v>
      </c>
      <c r="T36">
        <f ca="1">IFERROR(IF(0=LEN(ReferenceData!$S$36),"",ReferenceData!$S$36),"")</f>
        <v>2445380</v>
      </c>
      <c r="U36">
        <f ca="1">IFERROR(IF(0=LEN(ReferenceData!$R$36),"",ReferenceData!$R$36),"")</f>
        <v>2677600</v>
      </c>
      <c r="V36">
        <f ca="1">IFERROR(IF(0=LEN(ReferenceData!$Q$36),"",ReferenceData!$Q$36),"")</f>
        <v>2540500</v>
      </c>
      <c r="W36">
        <f ca="1">IFERROR(IF(0=LEN(ReferenceData!$P$36),"",ReferenceData!$P$36),"")</f>
        <v>3079170</v>
      </c>
      <c r="X36">
        <f ca="1">IFERROR(IF(0=LEN(ReferenceData!$O$36),"",ReferenceData!$O$36),"")</f>
        <v>3553700</v>
      </c>
      <c r="Y36">
        <f ca="1">IFERROR(IF(0=LEN(ReferenceData!$N$36),"",ReferenceData!$N$36),"")</f>
        <v>3851880</v>
      </c>
      <c r="Z36">
        <f ca="1">IFERROR(IF(0=LEN(ReferenceData!$M$36),"",ReferenceData!$M$36),"")</f>
        <v>3094730</v>
      </c>
      <c r="AA36">
        <f ca="1">IFERROR(IF(0=LEN(ReferenceData!$L$36),"",ReferenceData!$L$36),"")</f>
        <v>3161320</v>
      </c>
      <c r="AB36">
        <f ca="1">IFERROR(IF(0=LEN(ReferenceData!$K$36),"",ReferenceData!$K$36),"")</f>
        <v>3655000</v>
      </c>
      <c r="AC36">
        <f ca="1">IFERROR(IF(0=LEN(ReferenceData!$J$36),"",ReferenceData!$J$36),"")</f>
        <v>3943510</v>
      </c>
      <c r="AD36">
        <f ca="1">IFERROR(IF(0=LEN(ReferenceData!$I$36),"",ReferenceData!$I$36),"")</f>
        <v>4467590</v>
      </c>
      <c r="AE36">
        <f ca="1">IFERROR(IF(0=LEN(ReferenceData!$H$36),"",ReferenceData!$H$36),"")</f>
        <v>4818500</v>
      </c>
      <c r="AF36">
        <f ca="1">IFERROR(IF(0=LEN(ReferenceData!$G$36),"",ReferenceData!$G$36),"")</f>
        <v>5099340</v>
      </c>
      <c r="AG36">
        <f ca="1">IFERROR(IF(0=LEN(ReferenceData!$F$36),"",ReferenceData!$F$36),"")</f>
        <v>5240690</v>
      </c>
    </row>
    <row r="37" spans="1:33" x14ac:dyDescent="0.25">
      <c r="A37" t="str">
        <f>IFERROR(IF(0=LEN(ReferenceData!$A$37),"",ReferenceData!$A$37),"")</f>
        <v xml:space="preserve">            Passive Domestic Equity ETFs</v>
      </c>
      <c r="B37" t="str">
        <f>IFERROR(IF(0=LEN(ReferenceData!$B$37),"",ReferenceData!$B$37),"")</f>
        <v/>
      </c>
      <c r="C37" t="str">
        <f>IFERROR(IF(0=LEN(ReferenceData!$C$37),"",ReferenceData!$C$37),"")</f>
        <v/>
      </c>
      <c r="D37" t="str">
        <f>IFERROR(IF(0=LEN(ReferenceData!$D$37),"",ReferenceData!$D$37),"")</f>
        <v/>
      </c>
      <c r="E37" t="str">
        <f>IFERROR(IF(0=LEN(ReferenceData!$E$37),"",ReferenceData!$E$37),"")</f>
        <v>Expression</v>
      </c>
      <c r="F37">
        <f ca="1">IFERROR(IF(0=LEN(ReferenceData!$AG$37),"",ReferenceData!$AG$37),"")</f>
        <v>553634</v>
      </c>
      <c r="G37">
        <f ca="1">IFERROR(IF(0=LEN(ReferenceData!$AF$37),"",ReferenceData!$AF$37),"")</f>
        <v>600012</v>
      </c>
      <c r="H37">
        <f ca="1">IFERROR(IF(0=LEN(ReferenceData!$AE$37),"",ReferenceData!$AE$37),"")</f>
        <v>767562</v>
      </c>
      <c r="I37">
        <f ca="1">IFERROR(IF(0=LEN(ReferenceData!$AD$37),"",ReferenceData!$AD$37),"")</f>
        <v>938530</v>
      </c>
      <c r="J37">
        <f ca="1">IFERROR(IF(0=LEN(ReferenceData!$AC$37),"",ReferenceData!$AC$37),"")</f>
        <v>1026710</v>
      </c>
      <c r="K37">
        <f ca="1">IFERROR(IF(0=LEN(ReferenceData!$AB$37),"",ReferenceData!$AB$37),"")</f>
        <v>1163710</v>
      </c>
      <c r="L37">
        <f ca="1">IFERROR(IF(0=LEN(ReferenceData!$AA$37),"",ReferenceData!$AA$37),"")</f>
        <v>1189610</v>
      </c>
      <c r="M37">
        <f ca="1">IFERROR(IF(0=LEN(ReferenceData!$Z$37),"",ReferenceData!$Z$37),"")</f>
        <v>1182830</v>
      </c>
      <c r="N37">
        <f ca="1">IFERROR(IF(0=LEN(ReferenceData!$Y$37),"",ReferenceData!$Y$37),"")</f>
        <v>1262500</v>
      </c>
      <c r="O37">
        <f ca="1">IFERROR(IF(0=LEN(ReferenceData!$X$37),"",ReferenceData!$X$37),"")</f>
        <v>1509310</v>
      </c>
      <c r="P37">
        <f ca="1">IFERROR(IF(0=LEN(ReferenceData!$W$37),"",ReferenceData!$W$37),"")</f>
        <v>1686210</v>
      </c>
      <c r="Q37">
        <f ca="1">IFERROR(IF(0=LEN(ReferenceData!$V$37),"",ReferenceData!$V$37),"")</f>
        <v>1966830</v>
      </c>
      <c r="R37">
        <f ca="1">IFERROR(IF(0=LEN(ReferenceData!$U$37),"",ReferenceData!$U$37),"")</f>
        <v>2051820</v>
      </c>
      <c r="S37">
        <f ca="1">IFERROR(IF(0=LEN(ReferenceData!$T$37),"",ReferenceData!$T$37),"")</f>
        <v>1918320</v>
      </c>
      <c r="T37">
        <f ca="1">IFERROR(IF(0=LEN(ReferenceData!$S$37),"",ReferenceData!$S$37),"")</f>
        <v>2283550</v>
      </c>
      <c r="U37">
        <f ca="1">IFERROR(IF(0=LEN(ReferenceData!$R$37),"",ReferenceData!$R$37),"")</f>
        <v>2571290</v>
      </c>
      <c r="V37">
        <f ca="1">IFERROR(IF(0=LEN(ReferenceData!$Q$37),"",ReferenceData!$Q$37),"")</f>
        <v>2492350</v>
      </c>
      <c r="W37">
        <f ca="1">IFERROR(IF(0=LEN(ReferenceData!$P$37),"",ReferenceData!$P$37),"")</f>
        <v>3159770</v>
      </c>
      <c r="X37">
        <f ca="1">IFERROR(IF(0=LEN(ReferenceData!$O$37),"",ReferenceData!$O$37),"")</f>
        <v>3832920</v>
      </c>
      <c r="Y37">
        <f ca="1">IFERROR(IF(0=LEN(ReferenceData!$N$37),"",ReferenceData!$N$37),"")</f>
        <v>4350850</v>
      </c>
      <c r="Z37">
        <f ca="1">IFERROR(IF(0=LEN(ReferenceData!$M$37),"",ReferenceData!$M$37),"")</f>
        <v>3626880</v>
      </c>
      <c r="AA37">
        <f ca="1">IFERROR(IF(0=LEN(ReferenceData!$L$37),"",ReferenceData!$L$37),"")</f>
        <v>3782170</v>
      </c>
      <c r="AB37">
        <f ca="1">IFERROR(IF(0=LEN(ReferenceData!$K$37),"",ReferenceData!$K$37),"")</f>
        <v>4275160</v>
      </c>
      <c r="AC37">
        <f ca="1">IFERROR(IF(0=LEN(ReferenceData!$J$37),"",ReferenceData!$J$37),"")</f>
        <v>4814790</v>
      </c>
      <c r="AD37">
        <f ca="1">IFERROR(IF(0=LEN(ReferenceData!$I$37),"",ReferenceData!$I$37),"")</f>
        <v>5581810</v>
      </c>
      <c r="AE37">
        <f ca="1">IFERROR(IF(0=LEN(ReferenceData!$H$37),"",ReferenceData!$H$37),"")</f>
        <v>6372200</v>
      </c>
      <c r="AF37">
        <f ca="1">IFERROR(IF(0=LEN(ReferenceData!$G$37),"",ReferenceData!$G$37),"")</f>
        <v>6785760</v>
      </c>
      <c r="AG37">
        <f ca="1">IFERROR(IF(0=LEN(ReferenceData!$F$37),"",ReferenceData!$F$37),"")</f>
        <v>7573410</v>
      </c>
    </row>
    <row r="38" spans="1:33" x14ac:dyDescent="0.25">
      <c r="A38" t="str">
        <f>IFERROR(IF(0=LEN(ReferenceData!$A$38),"",ReferenceData!$A$38),"")</f>
        <v xml:space="preserve">        Active Domestic Equity</v>
      </c>
      <c r="B38" t="str">
        <f>IFERROR(IF(0=LEN(ReferenceData!$B$38),"",ReferenceData!$B$38),"")</f>
        <v>.BIATADE G Index</v>
      </c>
      <c r="C38" t="str">
        <f>IFERROR(IF(0=LEN(ReferenceData!$C$38),"",ReferenceData!$C$38),"")</f>
        <v>PR005</v>
      </c>
      <c r="D38" t="str">
        <f>IFERROR(IF(0=LEN(ReferenceData!$D$38),"",ReferenceData!$D$38),"")</f>
        <v>PX_LAST</v>
      </c>
      <c r="E38" t="str">
        <f>IFERROR(IF(0=LEN(ReferenceData!$E$38),"",ReferenceData!$E$38),"")</f>
        <v>Dynamic</v>
      </c>
      <c r="F38">
        <f ca="1">IFERROR(IF(0=LEN(ReferenceData!$AG$38),"",ReferenceData!$AG$38),"")</f>
        <v>2396760</v>
      </c>
      <c r="G38">
        <f ca="1">IFERROR(IF(0=LEN(ReferenceData!$AF$38),"",ReferenceData!$AF$38),"")</f>
        <v>2545160</v>
      </c>
      <c r="H38">
        <f ca="1">IFERROR(IF(0=LEN(ReferenceData!$AE$38),"",ReferenceData!$AE$38),"")</f>
        <v>2927020</v>
      </c>
      <c r="I38">
        <f ca="1">IFERROR(IF(0=LEN(ReferenceData!$AD$38),"",ReferenceData!$AD$38),"")</f>
        <v>3426860</v>
      </c>
      <c r="J38">
        <f ca="1">IFERROR(IF(0=LEN(ReferenceData!$AC$38),"",ReferenceData!$AC$38),"")</f>
        <v>3665090</v>
      </c>
      <c r="K38">
        <f ca="1">IFERROR(IF(0=LEN(ReferenceData!$AB$38),"",ReferenceData!$AB$38),"")</f>
        <v>3702600</v>
      </c>
      <c r="L38">
        <f ca="1">IFERROR(IF(0=LEN(ReferenceData!$AA$38),"",ReferenceData!$AA$38),"")</f>
        <v>3773800</v>
      </c>
      <c r="M38">
        <f ca="1">IFERROR(IF(0=LEN(ReferenceData!$Z$38),"",ReferenceData!$Z$38),"")</f>
        <v>3550440</v>
      </c>
      <c r="N38">
        <f ca="1">IFERROR(IF(0=LEN(ReferenceData!$Y$38),"",ReferenceData!$Y$38),"")</f>
        <v>3588290</v>
      </c>
      <c r="O38">
        <f ca="1">IFERROR(IF(0=LEN(ReferenceData!$X$38),"",ReferenceData!$X$38),"")</f>
        <v>3738490</v>
      </c>
      <c r="P38">
        <f ca="1">IFERROR(IF(0=LEN(ReferenceData!$W$38),"",ReferenceData!$W$38),"")</f>
        <v>4045130</v>
      </c>
      <c r="Q38">
        <f ca="1">IFERROR(IF(0=LEN(ReferenceData!$V$38),"",ReferenceData!$V$38),"")</f>
        <v>4309760</v>
      </c>
      <c r="R38">
        <f ca="1">IFERROR(IF(0=LEN(ReferenceData!$U$38),"",ReferenceData!$U$38),"")</f>
        <v>4462550</v>
      </c>
      <c r="S38">
        <f ca="1">IFERROR(IF(0=LEN(ReferenceData!$T$38),"",ReferenceData!$T$38),"")</f>
        <v>3811600</v>
      </c>
      <c r="T38">
        <f ca="1">IFERROR(IF(0=LEN(ReferenceData!$S$38),"",ReferenceData!$S$38),"")</f>
        <v>4404150</v>
      </c>
      <c r="U38">
        <f ca="1">IFERROR(IF(0=LEN(ReferenceData!$R$38),"",ReferenceData!$R$38),"")</f>
        <v>4764160</v>
      </c>
      <c r="V38">
        <f ca="1">IFERROR(IF(0=LEN(ReferenceData!$Q$38),"",ReferenceData!$Q$38),"")</f>
        <v>4596040</v>
      </c>
      <c r="W38">
        <f ca="1">IFERROR(IF(0=LEN(ReferenceData!$P$38),"",ReferenceData!$P$38),"")</f>
        <v>5459250</v>
      </c>
      <c r="X38">
        <f ca="1">IFERROR(IF(0=LEN(ReferenceData!$O$38),"",ReferenceData!$O$38),"")</f>
        <v>6160380</v>
      </c>
      <c r="Y38">
        <f ca="1">IFERROR(IF(0=LEN(ReferenceData!$N$38),"",ReferenceData!$N$38),"")</f>
        <v>6390420</v>
      </c>
      <c r="Z38">
        <f ca="1">IFERROR(IF(0=LEN(ReferenceData!$M$38),"",ReferenceData!$M$38),"")</f>
        <v>4926870</v>
      </c>
      <c r="AA38">
        <f ca="1">IFERROR(IF(0=LEN(ReferenceData!$L$38),"",ReferenceData!$L$38),"")</f>
        <v>4885770</v>
      </c>
      <c r="AB38">
        <f ca="1">IFERROR(IF(0=LEN(ReferenceData!$K$38),"",ReferenceData!$K$38),"")</f>
        <v>5419730</v>
      </c>
      <c r="AC38">
        <f ca="1">IFERROR(IF(0=LEN(ReferenceData!$J$38),"",ReferenceData!$J$38),"")</f>
        <v>5747000</v>
      </c>
      <c r="AD38">
        <f ca="1">IFERROR(IF(0=LEN(ReferenceData!$I$38),"",ReferenceData!$I$38),"")</f>
        <v>6377960</v>
      </c>
      <c r="AE38">
        <f ca="1">IFERROR(IF(0=LEN(ReferenceData!$H$38),"",ReferenceData!$H$38),"")</f>
        <v>6583930</v>
      </c>
      <c r="AF38">
        <f ca="1">IFERROR(IF(0=LEN(ReferenceData!$G$38),"",ReferenceData!$G$38),"")</f>
        <v>6783020</v>
      </c>
      <c r="AG38">
        <f ca="1">IFERROR(IF(0=LEN(ReferenceData!$F$38),"",ReferenceData!$F$38),"")</f>
        <v>7165630</v>
      </c>
    </row>
    <row r="39" spans="1:33" x14ac:dyDescent="0.25">
      <c r="A39" t="str">
        <f>IFERROR(IF(0=LEN(ReferenceData!$A$39),"",ReferenceData!$A$39),"")</f>
        <v xml:space="preserve">            Active Domestic Equity Mutual Funds</v>
      </c>
      <c r="B39" t="str">
        <f>IFERROR(IF(0=LEN(ReferenceData!$B$39),"",ReferenceData!$B$39),"")</f>
        <v>.BIAMADE G Index</v>
      </c>
      <c r="C39" t="str">
        <f>IFERROR(IF(0=LEN(ReferenceData!$C$39),"",ReferenceData!$C$39),"")</f>
        <v>PR005</v>
      </c>
      <c r="D39" t="str">
        <f>IFERROR(IF(0=LEN(ReferenceData!$D$39),"",ReferenceData!$D$39),"")</f>
        <v>PX_LAST</v>
      </c>
      <c r="E39" t="str">
        <f>IFERROR(IF(0=LEN(ReferenceData!$E$39),"",ReferenceData!$E$39),"")</f>
        <v>Dynamic</v>
      </c>
      <c r="F39">
        <f ca="1">IFERROR(IF(0=LEN(ReferenceData!$AG$39),"",ReferenceData!$AG$39),"")</f>
        <v>2380790</v>
      </c>
      <c r="G39">
        <f ca="1">IFERROR(IF(0=LEN(ReferenceData!$AF$39),"",ReferenceData!$AF$39),"")</f>
        <v>2527520</v>
      </c>
      <c r="H39">
        <f ca="1">IFERROR(IF(0=LEN(ReferenceData!$AE$39),"",ReferenceData!$AE$39),"")</f>
        <v>2905830</v>
      </c>
      <c r="I39">
        <f ca="1">IFERROR(IF(0=LEN(ReferenceData!$AD$39),"",ReferenceData!$AD$39),"")</f>
        <v>3401960</v>
      </c>
      <c r="J39">
        <f ca="1">IFERROR(IF(0=LEN(ReferenceData!$AC$39),"",ReferenceData!$AC$39),"")</f>
        <v>3637220</v>
      </c>
      <c r="K39">
        <f ca="1">IFERROR(IF(0=LEN(ReferenceData!$AB$39),"",ReferenceData!$AB$39),"")</f>
        <v>3673680</v>
      </c>
      <c r="L39">
        <f ca="1">IFERROR(IF(0=LEN(ReferenceData!$AA$39),"",ReferenceData!$AA$39),"")</f>
        <v>3742320</v>
      </c>
      <c r="M39">
        <f ca="1">IFERROR(IF(0=LEN(ReferenceData!$Z$39),"",ReferenceData!$Z$39),"")</f>
        <v>3521710</v>
      </c>
      <c r="N39">
        <f ca="1">IFERROR(IF(0=LEN(ReferenceData!$Y$39),"",ReferenceData!$Y$39),"")</f>
        <v>3556620</v>
      </c>
      <c r="O39">
        <f ca="1">IFERROR(IF(0=LEN(ReferenceData!$X$39),"",ReferenceData!$X$39),"")</f>
        <v>3701450</v>
      </c>
      <c r="P39">
        <f ca="1">IFERROR(IF(0=LEN(ReferenceData!$W$39),"",ReferenceData!$W$39),"")</f>
        <v>4005170</v>
      </c>
      <c r="Q39">
        <f ca="1">IFERROR(IF(0=LEN(ReferenceData!$V$39),"",ReferenceData!$V$39),"")</f>
        <v>4261780</v>
      </c>
      <c r="R39">
        <f ca="1">IFERROR(IF(0=LEN(ReferenceData!$U$39),"",ReferenceData!$U$39),"")</f>
        <v>4409170</v>
      </c>
      <c r="S39">
        <f ca="1">IFERROR(IF(0=LEN(ReferenceData!$T$39),"",ReferenceData!$T$39),"")</f>
        <v>3765390</v>
      </c>
      <c r="T39">
        <f ca="1">IFERROR(IF(0=LEN(ReferenceData!$S$39),"",ReferenceData!$S$39),"")</f>
        <v>4348510</v>
      </c>
      <c r="U39">
        <f ca="1">IFERROR(IF(0=LEN(ReferenceData!$R$39),"",ReferenceData!$R$39),"")</f>
        <v>4702860</v>
      </c>
      <c r="V39">
        <f ca="1">IFERROR(IF(0=LEN(ReferenceData!$Q$39),"",ReferenceData!$Q$39),"")</f>
        <v>4534540</v>
      </c>
      <c r="W39">
        <f ca="1">IFERROR(IF(0=LEN(ReferenceData!$P$39),"",ReferenceData!$P$39),"")</f>
        <v>5355340</v>
      </c>
      <c r="X39">
        <f ca="1">IFERROR(IF(0=LEN(ReferenceData!$O$39),"",ReferenceData!$O$39),"")</f>
        <v>6023210</v>
      </c>
      <c r="Y39">
        <f ca="1">IFERROR(IF(0=LEN(ReferenceData!$N$39),"",ReferenceData!$N$39),"")</f>
        <v>6244090</v>
      </c>
      <c r="Z39">
        <f ca="1">IFERROR(IF(0=LEN(ReferenceData!$M$39),"",ReferenceData!$M$39),"")</f>
        <v>4780260</v>
      </c>
      <c r="AA39">
        <f ca="1">IFERROR(IF(0=LEN(ReferenceData!$L$39),"",ReferenceData!$L$39),"")</f>
        <v>4708720</v>
      </c>
      <c r="AB39">
        <f ca="1">IFERROR(IF(0=LEN(ReferenceData!$K$39),"",ReferenceData!$K$39),"")</f>
        <v>5188460</v>
      </c>
      <c r="AC39">
        <f ca="1">IFERROR(IF(0=LEN(ReferenceData!$J$39),"",ReferenceData!$J$39),"")</f>
        <v>5453020</v>
      </c>
      <c r="AD39">
        <f ca="1">IFERROR(IF(0=LEN(ReferenceData!$I$39),"",ReferenceData!$I$39),"")</f>
        <v>5997400</v>
      </c>
      <c r="AE39">
        <f ca="1">IFERROR(IF(0=LEN(ReferenceData!$H$39),"",ReferenceData!$H$39),"")</f>
        <v>6111570</v>
      </c>
      <c r="AF39">
        <f ca="1">IFERROR(IF(0=LEN(ReferenceData!$G$39),"",ReferenceData!$G$39),"")</f>
        <v>6215450</v>
      </c>
      <c r="AG39">
        <f ca="1">IFERROR(IF(0=LEN(ReferenceData!$F$39),"",ReferenceData!$F$39),"")</f>
        <v>6491070</v>
      </c>
    </row>
    <row r="40" spans="1:33" x14ac:dyDescent="0.25">
      <c r="A40" t="str">
        <f>IFERROR(IF(0=LEN(ReferenceData!$A$40),"",ReferenceData!$A$40),"")</f>
        <v xml:space="preserve">            Active Domestic Equity ETFs</v>
      </c>
      <c r="B40" t="str">
        <f>IFERROR(IF(0=LEN(ReferenceData!$B$40),"",ReferenceData!$B$40),"")</f>
        <v/>
      </c>
      <c r="C40" t="str">
        <f>IFERROR(IF(0=LEN(ReferenceData!$C$40),"",ReferenceData!$C$40),"")</f>
        <v/>
      </c>
      <c r="D40" t="str">
        <f>IFERROR(IF(0=LEN(ReferenceData!$D$40),"",ReferenceData!$D$40),"")</f>
        <v/>
      </c>
      <c r="E40" t="str">
        <f>IFERROR(IF(0=LEN(ReferenceData!$E$40),"",ReferenceData!$E$40),"")</f>
        <v>Expression</v>
      </c>
      <c r="F40">
        <f ca="1">IFERROR(IF(0=LEN(ReferenceData!$AG$40),"",ReferenceData!$AG$40),"")</f>
        <v>15970</v>
      </c>
      <c r="G40">
        <f ca="1">IFERROR(IF(0=LEN(ReferenceData!$AF$40),"",ReferenceData!$AF$40),"")</f>
        <v>17640</v>
      </c>
      <c r="H40">
        <f ca="1">IFERROR(IF(0=LEN(ReferenceData!$AE$40),"",ReferenceData!$AE$40),"")</f>
        <v>21190</v>
      </c>
      <c r="I40">
        <f ca="1">IFERROR(IF(0=LEN(ReferenceData!$AD$40),"",ReferenceData!$AD$40),"")</f>
        <v>24900</v>
      </c>
      <c r="J40">
        <f ca="1">IFERROR(IF(0=LEN(ReferenceData!$AC$40),"",ReferenceData!$AC$40),"")</f>
        <v>27870</v>
      </c>
      <c r="K40">
        <f ca="1">IFERROR(IF(0=LEN(ReferenceData!$AB$40),"",ReferenceData!$AB$40),"")</f>
        <v>28920</v>
      </c>
      <c r="L40">
        <f ca="1">IFERROR(IF(0=LEN(ReferenceData!$AA$40),"",ReferenceData!$AA$40),"")</f>
        <v>31480</v>
      </c>
      <c r="M40">
        <f ca="1">IFERROR(IF(0=LEN(ReferenceData!$Z$40),"",ReferenceData!$Z$40),"")</f>
        <v>28730</v>
      </c>
      <c r="N40">
        <f ca="1">IFERROR(IF(0=LEN(ReferenceData!$Y$40),"",ReferenceData!$Y$40),"")</f>
        <v>31670</v>
      </c>
      <c r="O40">
        <f ca="1">IFERROR(IF(0=LEN(ReferenceData!$X$40),"",ReferenceData!$X$40),"")</f>
        <v>37040</v>
      </c>
      <c r="P40">
        <f ca="1">IFERROR(IF(0=LEN(ReferenceData!$W$40),"",ReferenceData!$W$40),"")</f>
        <v>39960</v>
      </c>
      <c r="Q40">
        <f ca="1">IFERROR(IF(0=LEN(ReferenceData!$V$40),"",ReferenceData!$V$40),"")</f>
        <v>47980</v>
      </c>
      <c r="R40">
        <f ca="1">IFERROR(IF(0=LEN(ReferenceData!$U$40),"",ReferenceData!$U$40),"")</f>
        <v>53380</v>
      </c>
      <c r="S40">
        <f ca="1">IFERROR(IF(0=LEN(ReferenceData!$T$40),"",ReferenceData!$T$40),"")</f>
        <v>46210</v>
      </c>
      <c r="T40">
        <f ca="1">IFERROR(IF(0=LEN(ReferenceData!$S$40),"",ReferenceData!$S$40),"")</f>
        <v>55640</v>
      </c>
      <c r="U40">
        <f ca="1">IFERROR(IF(0=LEN(ReferenceData!$R$40),"",ReferenceData!$R$40),"")</f>
        <v>61300</v>
      </c>
      <c r="V40">
        <f ca="1">IFERROR(IF(0=LEN(ReferenceData!$Q$40),"",ReferenceData!$Q$40),"")</f>
        <v>61500</v>
      </c>
      <c r="W40">
        <f ca="1">IFERROR(IF(0=LEN(ReferenceData!$P$40),"",ReferenceData!$P$40),"")</f>
        <v>103910</v>
      </c>
      <c r="X40">
        <f ca="1">IFERROR(IF(0=LEN(ReferenceData!$O$40),"",ReferenceData!$O$40),"")</f>
        <v>137170</v>
      </c>
      <c r="Y40">
        <f ca="1">IFERROR(IF(0=LEN(ReferenceData!$N$40),"",ReferenceData!$N$40),"")</f>
        <v>146330</v>
      </c>
      <c r="Z40">
        <f ca="1">IFERROR(IF(0=LEN(ReferenceData!$M$40),"",ReferenceData!$M$40),"")</f>
        <v>146610</v>
      </c>
      <c r="AA40">
        <f ca="1">IFERROR(IF(0=LEN(ReferenceData!$L$40),"",ReferenceData!$L$40),"")</f>
        <v>177050</v>
      </c>
      <c r="AB40">
        <f ca="1">IFERROR(IF(0=LEN(ReferenceData!$K$40),"",ReferenceData!$K$40),"")</f>
        <v>231270</v>
      </c>
      <c r="AC40">
        <f ca="1">IFERROR(IF(0=LEN(ReferenceData!$J$40),"",ReferenceData!$J$40),"")</f>
        <v>293980</v>
      </c>
      <c r="AD40">
        <f ca="1">IFERROR(IF(0=LEN(ReferenceData!$I$40),"",ReferenceData!$I$40),"")</f>
        <v>380560</v>
      </c>
      <c r="AE40">
        <f ca="1">IFERROR(IF(0=LEN(ReferenceData!$H$40),"",ReferenceData!$H$40),"")</f>
        <v>472360</v>
      </c>
      <c r="AF40">
        <f ca="1">IFERROR(IF(0=LEN(ReferenceData!$G$40),"",ReferenceData!$G$40),"")</f>
        <v>567570</v>
      </c>
      <c r="AG40">
        <f ca="1">IFERROR(IF(0=LEN(ReferenceData!$F$40),"",ReferenceData!$F$40),"")</f>
        <v>674560</v>
      </c>
    </row>
    <row r="41" spans="1:33" x14ac:dyDescent="0.25">
      <c r="A41" t="str">
        <f>IFERROR(IF(0=LEN(ReferenceData!$A$41),"",ReferenceData!$A$41),"")</f>
        <v xml:space="preserve">    Non-Domestic Equity Funds</v>
      </c>
      <c r="B41" t="str">
        <f>IFERROR(IF(0=LEN(ReferenceData!$B$41),"",ReferenceData!$B$41),"")</f>
        <v/>
      </c>
      <c r="C41" t="str">
        <f>IFERROR(IF(0=LEN(ReferenceData!$C$41),"",ReferenceData!$C$41),"")</f>
        <v/>
      </c>
      <c r="D41" t="str">
        <f>IFERROR(IF(0=LEN(ReferenceData!$D$41),"",ReferenceData!$D$41),"")</f>
        <v/>
      </c>
      <c r="E41" t="str">
        <f>IFERROR(IF(0=LEN(ReferenceData!$E$41),"",ReferenceData!$E$41),"")</f>
        <v>Sum</v>
      </c>
      <c r="F41">
        <f ca="1">IFERROR(IF(0=LEN(ReferenceData!$AG$41),"",ReferenceData!$AG$41),"")</f>
        <v>1424893</v>
      </c>
      <c r="G41">
        <f ca="1">IFERROR(IF(0=LEN(ReferenceData!$AF$41),"",ReferenceData!$AF$41),"")</f>
        <v>1679381</v>
      </c>
      <c r="H41">
        <f ca="1">IFERROR(IF(0=LEN(ReferenceData!$AE$41),"",ReferenceData!$AE$41),"")</f>
        <v>1805410</v>
      </c>
      <c r="I41">
        <f ca="1">IFERROR(IF(0=LEN(ReferenceData!$AD$41),"",ReferenceData!$AD$41),"")</f>
        <v>2157951</v>
      </c>
      <c r="J41">
        <f ca="1">IFERROR(IF(0=LEN(ReferenceData!$AC$41),"",ReferenceData!$AC$41),"")</f>
        <v>2437783</v>
      </c>
      <c r="K41">
        <f ca="1">IFERROR(IF(0=LEN(ReferenceData!$AB$41),"",ReferenceData!$AB$41),"")</f>
        <v>2302150</v>
      </c>
      <c r="L41">
        <f ca="1">IFERROR(IF(0=LEN(ReferenceData!$AA$41),"",ReferenceData!$AA$41),"")</f>
        <v>2571359</v>
      </c>
      <c r="M41">
        <f ca="1">IFERROR(IF(0=LEN(ReferenceData!$Z$41),"",ReferenceData!$Z$41),"")</f>
        <v>2366760</v>
      </c>
      <c r="N41">
        <f ca="1">IFERROR(IF(0=LEN(ReferenceData!$Y$41),"",ReferenceData!$Y$41),"")</f>
        <v>2409833</v>
      </c>
      <c r="O41">
        <f ca="1">IFERROR(IF(0=LEN(ReferenceData!$X$41),"",ReferenceData!$X$41),"")</f>
        <v>2494094</v>
      </c>
      <c r="P41">
        <f ca="1">IFERROR(IF(0=LEN(ReferenceData!$W$41),"",ReferenceData!$W$41),"")</f>
        <v>2976710</v>
      </c>
      <c r="Q41">
        <f ca="1">IFERROR(IF(0=LEN(ReferenceData!$V$41),"",ReferenceData!$V$41),"")</f>
        <v>3423470</v>
      </c>
      <c r="R41">
        <f ca="1">IFERROR(IF(0=LEN(ReferenceData!$U$41),"",ReferenceData!$U$41),"")</f>
        <v>3371910</v>
      </c>
      <c r="S41">
        <f ca="1">IFERROR(IF(0=LEN(ReferenceData!$T$41),"",ReferenceData!$T$41),"")</f>
        <v>2949770</v>
      </c>
      <c r="T41">
        <f ca="1">IFERROR(IF(0=LEN(ReferenceData!$S$41),"",ReferenceData!$S$41),"")</f>
        <v>3303400</v>
      </c>
      <c r="U41">
        <f ca="1">IFERROR(IF(0=LEN(ReferenceData!$R$41),"",ReferenceData!$R$41),"")</f>
        <v>3636230</v>
      </c>
      <c r="V41">
        <f ca="1">IFERROR(IF(0=LEN(ReferenceData!$Q$41),"",ReferenceData!$Q$41),"")</f>
        <v>3326320</v>
      </c>
      <c r="W41">
        <f ca="1">IFERROR(IF(0=LEN(ReferenceData!$P$41),"",ReferenceData!$P$41),"")</f>
        <v>4046780</v>
      </c>
      <c r="X41">
        <f ca="1">IFERROR(IF(0=LEN(ReferenceData!$O$41),"",ReferenceData!$O$41),"")</f>
        <v>4462070</v>
      </c>
      <c r="Y41">
        <f ca="1">IFERROR(IF(0=LEN(ReferenceData!$N$41),"",ReferenceData!$N$41),"")</f>
        <v>4492900</v>
      </c>
      <c r="Z41">
        <f ca="1">IFERROR(IF(0=LEN(ReferenceData!$M$41),"",ReferenceData!$M$41),"")</f>
        <v>3583460</v>
      </c>
      <c r="AA41">
        <f ca="1">IFERROR(IF(0=LEN(ReferenceData!$L$41),"",ReferenceData!$L$41),"")</f>
        <v>3602060</v>
      </c>
      <c r="AB41">
        <f ca="1">IFERROR(IF(0=LEN(ReferenceData!$K$41),"",ReferenceData!$K$41),"")</f>
        <v>3941090</v>
      </c>
      <c r="AC41">
        <f ca="1">IFERROR(IF(0=LEN(ReferenceData!$J$41),"",ReferenceData!$J$41),"")</f>
        <v>4088620</v>
      </c>
      <c r="AD41">
        <f ca="1">IFERROR(IF(0=LEN(ReferenceData!$I$41),"",ReferenceData!$I$41),"")</f>
        <v>4408450</v>
      </c>
      <c r="AE41">
        <f ca="1">IFERROR(IF(0=LEN(ReferenceData!$H$41),"",ReferenceData!$H$41),"")</f>
        <v>4358280</v>
      </c>
      <c r="AF41">
        <f ca="1">IFERROR(IF(0=LEN(ReferenceData!$G$41),"",ReferenceData!$G$41),"")</f>
        <v>5050990</v>
      </c>
      <c r="AG41">
        <f ca="1">IFERROR(IF(0=LEN(ReferenceData!$F$41),"",ReferenceData!$F$41),"")</f>
        <v>5551120</v>
      </c>
    </row>
    <row r="42" spans="1:33" x14ac:dyDescent="0.25">
      <c r="A42" t="str">
        <f>IFERROR(IF(0=LEN(ReferenceData!$A$42),"",ReferenceData!$A$42),"")</f>
        <v xml:space="preserve">        Passive Non-Domestic Equity</v>
      </c>
      <c r="B42" t="str">
        <f>IFERROR(IF(0=LEN(ReferenceData!$B$42),"",ReferenceData!$B$42),"")</f>
        <v>.BIATPNE G Index</v>
      </c>
      <c r="C42" t="str">
        <f>IFERROR(IF(0=LEN(ReferenceData!$C$42),"",ReferenceData!$C$42),"")</f>
        <v>PR005</v>
      </c>
      <c r="D42" t="str">
        <f>IFERROR(IF(0=LEN(ReferenceData!$D$42),"",ReferenceData!$D$42),"")</f>
        <v>PX_LAST</v>
      </c>
      <c r="E42" t="str">
        <f>IFERROR(IF(0=LEN(ReferenceData!$E$42),"",ReferenceData!$E$42),"")</f>
        <v>Dynamic</v>
      </c>
      <c r="F42">
        <f ca="1">IFERROR(IF(0=LEN(ReferenceData!$AG$42),"",ReferenceData!$AG$42),"")</f>
        <v>372153</v>
      </c>
      <c r="G42">
        <f ca="1">IFERROR(IF(0=LEN(ReferenceData!$AF$42),"",ReferenceData!$AF$42),"")</f>
        <v>471261</v>
      </c>
      <c r="H42">
        <f ca="1">IFERROR(IF(0=LEN(ReferenceData!$AE$42),"",ReferenceData!$AE$42),"")</f>
        <v>474550</v>
      </c>
      <c r="I42">
        <f ca="1">IFERROR(IF(0=LEN(ReferenceData!$AD$42),"",ReferenceData!$AD$42),"")</f>
        <v>579361</v>
      </c>
      <c r="J42">
        <f ca="1">IFERROR(IF(0=LEN(ReferenceData!$AC$42),"",ReferenceData!$AC$42),"")</f>
        <v>669293</v>
      </c>
      <c r="K42">
        <f ca="1">IFERROR(IF(0=LEN(ReferenceData!$AB$42),"",ReferenceData!$AB$42),"")</f>
        <v>640660</v>
      </c>
      <c r="L42">
        <f ca="1">IFERROR(IF(0=LEN(ReferenceData!$AA$42),"",ReferenceData!$AA$42),"")</f>
        <v>791309</v>
      </c>
      <c r="M42">
        <f ca="1">IFERROR(IF(0=LEN(ReferenceData!$Z$42),"",ReferenceData!$Z$42),"")</f>
        <v>753890</v>
      </c>
      <c r="N42">
        <f ca="1">IFERROR(IF(0=LEN(ReferenceData!$Y$42),"",ReferenceData!$Y$42),"")</f>
        <v>777643</v>
      </c>
      <c r="O42">
        <f ca="1">IFERROR(IF(0=LEN(ReferenceData!$X$42),"",ReferenceData!$X$42),"")</f>
        <v>844804</v>
      </c>
      <c r="P42">
        <f ca="1">IFERROR(IF(0=LEN(ReferenceData!$W$42),"",ReferenceData!$W$42),"")</f>
        <v>1093110</v>
      </c>
      <c r="Q42">
        <f ca="1">IFERROR(IF(0=LEN(ReferenceData!$V$42),"",ReferenceData!$V$42),"")</f>
        <v>1313370</v>
      </c>
      <c r="R42">
        <f ca="1">IFERROR(IF(0=LEN(ReferenceData!$U$42),"",ReferenceData!$U$42),"")</f>
        <v>1306300</v>
      </c>
      <c r="S42">
        <f ca="1">IFERROR(IF(0=LEN(ReferenceData!$T$42),"",ReferenceData!$T$42),"")</f>
        <v>1233450</v>
      </c>
      <c r="T42">
        <f ca="1">IFERROR(IF(0=LEN(ReferenceData!$S$42),"",ReferenceData!$S$42),"")</f>
        <v>1396660</v>
      </c>
      <c r="U42">
        <f ca="1">IFERROR(IF(0=LEN(ReferenceData!$R$42),"",ReferenceData!$R$42),"")</f>
        <v>1524740</v>
      </c>
      <c r="V42">
        <f ca="1">IFERROR(IF(0=LEN(ReferenceData!$Q$42),"",ReferenceData!$Q$42),"")</f>
        <v>1374940</v>
      </c>
      <c r="W42">
        <f ca="1">IFERROR(IF(0=LEN(ReferenceData!$P$42),"",ReferenceData!$P$42),"")</f>
        <v>1666250</v>
      </c>
      <c r="X42">
        <f ca="1">IFERROR(IF(0=LEN(ReferenceData!$O$42),"",ReferenceData!$O$42),"")</f>
        <v>1869600</v>
      </c>
      <c r="Y42">
        <f ca="1">IFERROR(IF(0=LEN(ReferenceData!$N$42),"",ReferenceData!$N$42),"")</f>
        <v>1926880</v>
      </c>
      <c r="Z42">
        <f ca="1">IFERROR(IF(0=LEN(ReferenceData!$M$42),"",ReferenceData!$M$42),"")</f>
        <v>1603710</v>
      </c>
      <c r="AA42">
        <f ca="1">IFERROR(IF(0=LEN(ReferenceData!$L$42),"",ReferenceData!$L$42),"")</f>
        <v>1659370</v>
      </c>
      <c r="AB42">
        <f ca="1">IFERROR(IF(0=LEN(ReferenceData!$K$42),"",ReferenceData!$K$42),"")</f>
        <v>1821010</v>
      </c>
      <c r="AC42">
        <f ca="1">IFERROR(IF(0=LEN(ReferenceData!$J$42),"",ReferenceData!$J$42),"")</f>
        <v>1920890</v>
      </c>
      <c r="AD42">
        <f ca="1">IFERROR(IF(0=LEN(ReferenceData!$I$42),"",ReferenceData!$I$42),"")</f>
        <v>2081390</v>
      </c>
      <c r="AE42">
        <f ca="1">IFERROR(IF(0=LEN(ReferenceData!$H$42),"",ReferenceData!$H$42),"")</f>
        <v>2085450</v>
      </c>
      <c r="AF42">
        <f ca="1">IFERROR(IF(0=LEN(ReferenceData!$G$42),"",ReferenceData!$G$42),"")</f>
        <v>2484120</v>
      </c>
      <c r="AG42">
        <f ca="1">IFERROR(IF(0=LEN(ReferenceData!$F$42),"",ReferenceData!$F$42),"")</f>
        <v>2803510</v>
      </c>
    </row>
    <row r="43" spans="1:33" x14ac:dyDescent="0.25">
      <c r="A43" t="str">
        <f>IFERROR(IF(0=LEN(ReferenceData!$A$43),"",ReferenceData!$A$43),"")</f>
        <v xml:space="preserve">            Passive Non-Domestic Equity Mutual Funds</v>
      </c>
      <c r="B43" t="str">
        <f>IFERROR(IF(0=LEN(ReferenceData!$B$43),"",ReferenceData!$B$43),"")</f>
        <v>.BIAMPNE G Index</v>
      </c>
      <c r="C43" t="str">
        <f>IFERROR(IF(0=LEN(ReferenceData!$C$43),"",ReferenceData!$C$43),"")</f>
        <v>PR005</v>
      </c>
      <c r="D43" t="str">
        <f>IFERROR(IF(0=LEN(ReferenceData!$D$43),"",ReferenceData!$D$43),"")</f>
        <v>PX_LAST</v>
      </c>
      <c r="E43" t="str">
        <f>IFERROR(IF(0=LEN(ReferenceData!$E$43),"",ReferenceData!$E$43),"")</f>
        <v>Dynamic</v>
      </c>
      <c r="F43">
        <f ca="1">IFERROR(IF(0=LEN(ReferenceData!$AG$43),"",ReferenceData!$AG$43),"")</f>
        <v>117899</v>
      </c>
      <c r="G43">
        <f ca="1">IFERROR(IF(0=LEN(ReferenceData!$AF$43),"",ReferenceData!$AF$43),"")</f>
        <v>142564</v>
      </c>
      <c r="H43">
        <f ca="1">IFERROR(IF(0=LEN(ReferenceData!$AE$43),"",ReferenceData!$AE$43),"")</f>
        <v>155984</v>
      </c>
      <c r="I43">
        <f ca="1">IFERROR(IF(0=LEN(ReferenceData!$AD$43),"",ReferenceData!$AD$43),"")</f>
        <v>190022</v>
      </c>
      <c r="J43">
        <f ca="1">IFERROR(IF(0=LEN(ReferenceData!$AC$43),"",ReferenceData!$AC$43),"")</f>
        <v>234128</v>
      </c>
      <c r="K43">
        <f ca="1">IFERROR(IF(0=LEN(ReferenceData!$AB$43),"",ReferenceData!$AB$43),"")</f>
        <v>234741</v>
      </c>
      <c r="L43">
        <f ca="1">IFERROR(IF(0=LEN(ReferenceData!$AA$43),"",ReferenceData!$AA$43),"")</f>
        <v>281937</v>
      </c>
      <c r="M43">
        <f ca="1">IFERROR(IF(0=LEN(ReferenceData!$Z$43),"",ReferenceData!$Z$43),"")</f>
        <v>294634</v>
      </c>
      <c r="N43">
        <f ca="1">IFERROR(IF(0=LEN(ReferenceData!$Y$43),"",ReferenceData!$Y$43),"")</f>
        <v>319017</v>
      </c>
      <c r="O43">
        <f ca="1">IFERROR(IF(0=LEN(ReferenceData!$X$43),"",ReferenceData!$X$43),"")</f>
        <v>345767</v>
      </c>
      <c r="P43">
        <f ca="1">IFERROR(IF(0=LEN(ReferenceData!$W$43),"",ReferenceData!$W$43),"")</f>
        <v>439903</v>
      </c>
      <c r="Q43">
        <f ca="1">IFERROR(IF(0=LEN(ReferenceData!$V$43),"",ReferenceData!$V$43),"")</f>
        <v>520891</v>
      </c>
      <c r="R43">
        <f ca="1">IFERROR(IF(0=LEN(ReferenceData!$U$43),"",ReferenceData!$U$43),"")</f>
        <v>534015</v>
      </c>
      <c r="S43">
        <f ca="1">IFERROR(IF(0=LEN(ReferenceData!$T$43),"",ReferenceData!$T$43),"")</f>
        <v>508835</v>
      </c>
      <c r="T43">
        <f ca="1">IFERROR(IF(0=LEN(ReferenceData!$S$43),"",ReferenceData!$S$43),"")</f>
        <v>591267</v>
      </c>
      <c r="U43">
        <f ca="1">IFERROR(IF(0=LEN(ReferenceData!$R$43),"",ReferenceData!$R$43),"")</f>
        <v>650677</v>
      </c>
      <c r="V43">
        <f ca="1">IFERROR(IF(0=LEN(ReferenceData!$Q$43),"",ReferenceData!$Q$43),"")</f>
        <v>606971</v>
      </c>
      <c r="W43">
        <f ca="1">IFERROR(IF(0=LEN(ReferenceData!$P$43),"",ReferenceData!$P$43),"")</f>
        <v>660607</v>
      </c>
      <c r="X43">
        <f ca="1">IFERROR(IF(0=LEN(ReferenceData!$O$43),"",ReferenceData!$O$43),"")</f>
        <v>680939</v>
      </c>
      <c r="Y43">
        <f ca="1">IFERROR(IF(0=LEN(ReferenceData!$N$43),"",ReferenceData!$N$43),"")</f>
        <v>715520</v>
      </c>
      <c r="Z43">
        <f ca="1">IFERROR(IF(0=LEN(ReferenceData!$M$43),"",ReferenceData!$M$43),"")</f>
        <v>585191</v>
      </c>
      <c r="AA43">
        <f ca="1">IFERROR(IF(0=LEN(ReferenceData!$L$43),"",ReferenceData!$L$43),"")</f>
        <v>599071</v>
      </c>
      <c r="AB43">
        <f ca="1">IFERROR(IF(0=LEN(ReferenceData!$K$43),"",ReferenceData!$K$43),"")</f>
        <v>658159</v>
      </c>
      <c r="AC43">
        <f ca="1">IFERROR(IF(0=LEN(ReferenceData!$J$43),"",ReferenceData!$J$43),"")</f>
        <v>702504</v>
      </c>
      <c r="AD43">
        <f ca="1">IFERROR(IF(0=LEN(ReferenceData!$I$43),"",ReferenceData!$I$43),"")</f>
        <v>753077</v>
      </c>
      <c r="AE43">
        <f ca="1">IFERROR(IF(0=LEN(ReferenceData!$H$43),"",ReferenceData!$H$43),"")</f>
        <v>762550</v>
      </c>
      <c r="AF43">
        <f ca="1">IFERROR(IF(0=LEN(ReferenceData!$G$43),"",ReferenceData!$G$43),"")</f>
        <v>890019</v>
      </c>
      <c r="AG43">
        <f ca="1">IFERROR(IF(0=LEN(ReferenceData!$F$43),"",ReferenceData!$F$43),"")</f>
        <v>970725</v>
      </c>
    </row>
    <row r="44" spans="1:33" x14ac:dyDescent="0.25">
      <c r="A44" t="str">
        <f>IFERROR(IF(0=LEN(ReferenceData!$A$44),"",ReferenceData!$A$44),"")</f>
        <v xml:space="preserve">            Passive Non-Domestic Equity ETFs</v>
      </c>
      <c r="B44" t="str">
        <f>IFERROR(IF(0=LEN(ReferenceData!$B$44),"",ReferenceData!$B$44),"")</f>
        <v/>
      </c>
      <c r="C44" t="str">
        <f>IFERROR(IF(0=LEN(ReferenceData!$C$44),"",ReferenceData!$C$44),"")</f>
        <v/>
      </c>
      <c r="D44" t="str">
        <f>IFERROR(IF(0=LEN(ReferenceData!$D$44),"",ReferenceData!$D$44),"")</f>
        <v/>
      </c>
      <c r="E44" t="str">
        <f>IFERROR(IF(0=LEN(ReferenceData!$E$44),"",ReferenceData!$E$44),"")</f>
        <v>Expression</v>
      </c>
      <c r="F44">
        <f ca="1">IFERROR(IF(0=LEN(ReferenceData!$AG$44),"",ReferenceData!$AG$44),"")</f>
        <v>254254</v>
      </c>
      <c r="G44">
        <f ca="1">IFERROR(IF(0=LEN(ReferenceData!$AF$44),"",ReferenceData!$AF$44),"")</f>
        <v>328697</v>
      </c>
      <c r="H44">
        <f ca="1">IFERROR(IF(0=LEN(ReferenceData!$AE$44),"",ReferenceData!$AE$44),"")</f>
        <v>318566</v>
      </c>
      <c r="I44">
        <f ca="1">IFERROR(IF(0=LEN(ReferenceData!$AD$44),"",ReferenceData!$AD$44),"")</f>
        <v>389339</v>
      </c>
      <c r="J44">
        <f ca="1">IFERROR(IF(0=LEN(ReferenceData!$AC$44),"",ReferenceData!$AC$44),"")</f>
        <v>435165</v>
      </c>
      <c r="K44">
        <f ca="1">IFERROR(IF(0=LEN(ReferenceData!$AB$44),"",ReferenceData!$AB$44),"")</f>
        <v>405919</v>
      </c>
      <c r="L44">
        <f ca="1">IFERROR(IF(0=LEN(ReferenceData!$AA$44),"",ReferenceData!$AA$44),"")</f>
        <v>509372</v>
      </c>
      <c r="M44">
        <f ca="1">IFERROR(IF(0=LEN(ReferenceData!$Z$44),"",ReferenceData!$Z$44),"")</f>
        <v>459256</v>
      </c>
      <c r="N44">
        <f ca="1">IFERROR(IF(0=LEN(ReferenceData!$Y$44),"",ReferenceData!$Y$44),"")</f>
        <v>458626</v>
      </c>
      <c r="O44">
        <f ca="1">IFERROR(IF(0=LEN(ReferenceData!$X$44),"",ReferenceData!$X$44),"")</f>
        <v>499037</v>
      </c>
      <c r="P44">
        <f ca="1">IFERROR(IF(0=LEN(ReferenceData!$W$44),"",ReferenceData!$W$44),"")</f>
        <v>653207</v>
      </c>
      <c r="Q44">
        <f ca="1">IFERROR(IF(0=LEN(ReferenceData!$V$44),"",ReferenceData!$V$44),"")</f>
        <v>792479</v>
      </c>
      <c r="R44">
        <f ca="1">IFERROR(IF(0=LEN(ReferenceData!$U$44),"",ReferenceData!$U$44),"")</f>
        <v>772285</v>
      </c>
      <c r="S44">
        <f ca="1">IFERROR(IF(0=LEN(ReferenceData!$T$44),"",ReferenceData!$T$44),"")</f>
        <v>724615</v>
      </c>
      <c r="T44">
        <f ca="1">IFERROR(IF(0=LEN(ReferenceData!$S$44),"",ReferenceData!$S$44),"")</f>
        <v>805393</v>
      </c>
      <c r="U44">
        <f ca="1">IFERROR(IF(0=LEN(ReferenceData!$R$44),"",ReferenceData!$R$44),"")</f>
        <v>874063</v>
      </c>
      <c r="V44">
        <f ca="1">IFERROR(IF(0=LEN(ReferenceData!$Q$44),"",ReferenceData!$Q$44),"")</f>
        <v>767969</v>
      </c>
      <c r="W44">
        <f ca="1">IFERROR(IF(0=LEN(ReferenceData!$P$44),"",ReferenceData!$P$44),"")</f>
        <v>1005643</v>
      </c>
      <c r="X44">
        <f ca="1">IFERROR(IF(0=LEN(ReferenceData!$O$44),"",ReferenceData!$O$44),"")</f>
        <v>1188661</v>
      </c>
      <c r="Y44">
        <f ca="1">IFERROR(IF(0=LEN(ReferenceData!$N$44),"",ReferenceData!$N$44),"")</f>
        <v>1211360</v>
      </c>
      <c r="Z44">
        <f ca="1">IFERROR(IF(0=LEN(ReferenceData!$M$44),"",ReferenceData!$M$44),"")</f>
        <v>1018519</v>
      </c>
      <c r="AA44">
        <f ca="1">IFERROR(IF(0=LEN(ReferenceData!$L$44),"",ReferenceData!$L$44),"")</f>
        <v>1060299</v>
      </c>
      <c r="AB44">
        <f ca="1">IFERROR(IF(0=LEN(ReferenceData!$K$44),"",ReferenceData!$K$44),"")</f>
        <v>1162851</v>
      </c>
      <c r="AC44">
        <f ca="1">IFERROR(IF(0=LEN(ReferenceData!$J$44),"",ReferenceData!$J$44),"")</f>
        <v>1218386</v>
      </c>
      <c r="AD44">
        <f ca="1">IFERROR(IF(0=LEN(ReferenceData!$I$44),"",ReferenceData!$I$44),"")</f>
        <v>1328313</v>
      </c>
      <c r="AE44">
        <f ca="1">IFERROR(IF(0=LEN(ReferenceData!$H$44),"",ReferenceData!$H$44),"")</f>
        <v>1322900</v>
      </c>
      <c r="AF44">
        <f ca="1">IFERROR(IF(0=LEN(ReferenceData!$G$44),"",ReferenceData!$G$44),"")</f>
        <v>1594101</v>
      </c>
      <c r="AG44">
        <f ca="1">IFERROR(IF(0=LEN(ReferenceData!$F$44),"",ReferenceData!$F$44),"")</f>
        <v>1832785</v>
      </c>
    </row>
    <row r="45" spans="1:33" x14ac:dyDescent="0.25">
      <c r="A45" t="str">
        <f>IFERROR(IF(0=LEN(ReferenceData!$A$45),"",ReferenceData!$A$45),"")</f>
        <v xml:space="preserve">        Active Non-Domestic Equity</v>
      </c>
      <c r="B45" t="str">
        <f>IFERROR(IF(0=LEN(ReferenceData!$B$45),"",ReferenceData!$B$45),"")</f>
        <v>.BIATANE G Index</v>
      </c>
      <c r="C45" t="str">
        <f>IFERROR(IF(0=LEN(ReferenceData!$C$45),"",ReferenceData!$C$45),"")</f>
        <v>PR005</v>
      </c>
      <c r="D45" t="str">
        <f>IFERROR(IF(0=LEN(ReferenceData!$D$45),"",ReferenceData!$D$45),"")</f>
        <v>PX_LAST</v>
      </c>
      <c r="E45" t="str">
        <f>IFERROR(IF(0=LEN(ReferenceData!$E$45),"",ReferenceData!$E$45),"")</f>
        <v>Dynamic</v>
      </c>
      <c r="F45">
        <f ca="1">IFERROR(IF(0=LEN(ReferenceData!$AG$45),"",ReferenceData!$AG$45),"")</f>
        <v>1052740</v>
      </c>
      <c r="G45">
        <f ca="1">IFERROR(IF(0=LEN(ReferenceData!$AF$45),"",ReferenceData!$AF$45),"")</f>
        <v>1208120</v>
      </c>
      <c r="H45">
        <f ca="1">IFERROR(IF(0=LEN(ReferenceData!$AE$45),"",ReferenceData!$AE$45),"")</f>
        <v>1330860</v>
      </c>
      <c r="I45">
        <f ca="1">IFERROR(IF(0=LEN(ReferenceData!$AD$45),"",ReferenceData!$AD$45),"")</f>
        <v>1578590</v>
      </c>
      <c r="J45">
        <f ca="1">IFERROR(IF(0=LEN(ReferenceData!$AC$45),"",ReferenceData!$AC$45),"")</f>
        <v>1768490</v>
      </c>
      <c r="K45">
        <f ca="1">IFERROR(IF(0=LEN(ReferenceData!$AB$45),"",ReferenceData!$AB$45),"")</f>
        <v>1661490</v>
      </c>
      <c r="L45">
        <f ca="1">IFERROR(IF(0=LEN(ReferenceData!$AA$45),"",ReferenceData!$AA$45),"")</f>
        <v>1780050</v>
      </c>
      <c r="M45">
        <f ca="1">IFERROR(IF(0=LEN(ReferenceData!$Z$45),"",ReferenceData!$Z$45),"")</f>
        <v>1612870</v>
      </c>
      <c r="N45">
        <f ca="1">IFERROR(IF(0=LEN(ReferenceData!$Y$45),"",ReferenceData!$Y$45),"")</f>
        <v>1632190</v>
      </c>
      <c r="O45">
        <f ca="1">IFERROR(IF(0=LEN(ReferenceData!$X$45),"",ReferenceData!$X$45),"")</f>
        <v>1649290</v>
      </c>
      <c r="P45">
        <f ca="1">IFERROR(IF(0=LEN(ReferenceData!$W$45),"",ReferenceData!$W$45),"")</f>
        <v>1883600</v>
      </c>
      <c r="Q45">
        <f ca="1">IFERROR(IF(0=LEN(ReferenceData!$V$45),"",ReferenceData!$V$45),"")</f>
        <v>2110100</v>
      </c>
      <c r="R45">
        <f ca="1">IFERROR(IF(0=LEN(ReferenceData!$U$45),"",ReferenceData!$U$45),"")</f>
        <v>2065610</v>
      </c>
      <c r="S45">
        <f ca="1">IFERROR(IF(0=LEN(ReferenceData!$T$45),"",ReferenceData!$T$45),"")</f>
        <v>1716320</v>
      </c>
      <c r="T45">
        <f ca="1">IFERROR(IF(0=LEN(ReferenceData!$S$45),"",ReferenceData!$S$45),"")</f>
        <v>1906740</v>
      </c>
      <c r="U45">
        <f ca="1">IFERROR(IF(0=LEN(ReferenceData!$R$45),"",ReferenceData!$R$45),"")</f>
        <v>2111490</v>
      </c>
      <c r="V45">
        <f ca="1">IFERROR(IF(0=LEN(ReferenceData!$Q$45),"",ReferenceData!$Q$45),"")</f>
        <v>1951380</v>
      </c>
      <c r="W45">
        <f ca="1">IFERROR(IF(0=LEN(ReferenceData!$P$45),"",ReferenceData!$P$45),"")</f>
        <v>2380530</v>
      </c>
      <c r="X45">
        <f ca="1">IFERROR(IF(0=LEN(ReferenceData!$O$45),"",ReferenceData!$O$45),"")</f>
        <v>2592470</v>
      </c>
      <c r="Y45">
        <f ca="1">IFERROR(IF(0=LEN(ReferenceData!$N$45),"",ReferenceData!$N$45),"")</f>
        <v>2566020</v>
      </c>
      <c r="Z45">
        <f ca="1">IFERROR(IF(0=LEN(ReferenceData!$M$45),"",ReferenceData!$M$45),"")</f>
        <v>1979750</v>
      </c>
      <c r="AA45">
        <f ca="1">IFERROR(IF(0=LEN(ReferenceData!$L$45),"",ReferenceData!$L$45),"")</f>
        <v>1942690</v>
      </c>
      <c r="AB45">
        <f ca="1">IFERROR(IF(0=LEN(ReferenceData!$K$45),"",ReferenceData!$K$45),"")</f>
        <v>2120080</v>
      </c>
      <c r="AC45">
        <f ca="1">IFERROR(IF(0=LEN(ReferenceData!$J$45),"",ReferenceData!$J$45),"")</f>
        <v>2167730</v>
      </c>
      <c r="AD45">
        <f ca="1">IFERROR(IF(0=LEN(ReferenceData!$I$45),"",ReferenceData!$I$45),"")</f>
        <v>2327060</v>
      </c>
      <c r="AE45">
        <f ca="1">IFERROR(IF(0=LEN(ReferenceData!$H$45),"",ReferenceData!$H$45),"")</f>
        <v>2272830</v>
      </c>
      <c r="AF45">
        <f ca="1">IFERROR(IF(0=LEN(ReferenceData!$G$45),"",ReferenceData!$G$45),"")</f>
        <v>2566870</v>
      </c>
      <c r="AG45">
        <f ca="1">IFERROR(IF(0=LEN(ReferenceData!$F$45),"",ReferenceData!$F$45),"")</f>
        <v>2747610</v>
      </c>
    </row>
    <row r="46" spans="1:33" x14ac:dyDescent="0.25">
      <c r="A46" t="str">
        <f>IFERROR(IF(0=LEN(ReferenceData!$A$46),"",ReferenceData!$A$46),"")</f>
        <v xml:space="preserve">            Active Non-Domestic Equity Mutual Funds</v>
      </c>
      <c r="B46" t="str">
        <f>IFERROR(IF(0=LEN(ReferenceData!$B$46),"",ReferenceData!$B$46),"")</f>
        <v>.BIAMANE G Index</v>
      </c>
      <c r="C46" t="str">
        <f>IFERROR(IF(0=LEN(ReferenceData!$C$46),"",ReferenceData!$C$46),"")</f>
        <v>PR005</v>
      </c>
      <c r="D46" t="str">
        <f>IFERROR(IF(0=LEN(ReferenceData!$D$46),"",ReferenceData!$D$46),"")</f>
        <v>PX_LAST</v>
      </c>
      <c r="E46" t="str">
        <f>IFERROR(IF(0=LEN(ReferenceData!$E$46),"",ReferenceData!$E$46),"")</f>
        <v>Dynamic</v>
      </c>
      <c r="F46">
        <f ca="1">IFERROR(IF(0=LEN(ReferenceData!$AG$46),"",ReferenceData!$AG$46),"")</f>
        <v>1048650</v>
      </c>
      <c r="G46">
        <f ca="1">IFERROR(IF(0=LEN(ReferenceData!$AF$46),"",ReferenceData!$AF$46),"")</f>
        <v>1203210</v>
      </c>
      <c r="H46">
        <f ca="1">IFERROR(IF(0=LEN(ReferenceData!$AE$46),"",ReferenceData!$AE$46),"")</f>
        <v>1325010</v>
      </c>
      <c r="I46">
        <f ca="1">IFERROR(IF(0=LEN(ReferenceData!$AD$46),"",ReferenceData!$AD$46),"")</f>
        <v>1571010</v>
      </c>
      <c r="J46">
        <f ca="1">IFERROR(IF(0=LEN(ReferenceData!$AC$46),"",ReferenceData!$AC$46),"")</f>
        <v>1758700</v>
      </c>
      <c r="K46">
        <f ca="1">IFERROR(IF(0=LEN(ReferenceData!$AB$46),"",ReferenceData!$AB$46),"")</f>
        <v>1650780</v>
      </c>
      <c r="L46">
        <f ca="1">IFERROR(IF(0=LEN(ReferenceData!$AA$46),"",ReferenceData!$AA$46),"")</f>
        <v>1766740</v>
      </c>
      <c r="M46">
        <f ca="1">IFERROR(IF(0=LEN(ReferenceData!$Z$46),"",ReferenceData!$Z$46),"")</f>
        <v>1599910</v>
      </c>
      <c r="N46">
        <f ca="1">IFERROR(IF(0=LEN(ReferenceData!$Y$46),"",ReferenceData!$Y$46),"")</f>
        <v>1617830</v>
      </c>
      <c r="O46">
        <f ca="1">IFERROR(IF(0=LEN(ReferenceData!$X$46),"",ReferenceData!$X$46),"")</f>
        <v>1631830</v>
      </c>
      <c r="P46">
        <f ca="1">IFERROR(IF(0=LEN(ReferenceData!$W$46),"",ReferenceData!$W$46),"")</f>
        <v>1862810</v>
      </c>
      <c r="Q46">
        <f ca="1">IFERROR(IF(0=LEN(ReferenceData!$V$46),"",ReferenceData!$V$46),"")</f>
        <v>2084070</v>
      </c>
      <c r="R46">
        <f ca="1">IFERROR(IF(0=LEN(ReferenceData!$U$46),"",ReferenceData!$U$46),"")</f>
        <v>2036830</v>
      </c>
      <c r="S46">
        <f ca="1">IFERROR(IF(0=LEN(ReferenceData!$T$46),"",ReferenceData!$T$46),"")</f>
        <v>1691840</v>
      </c>
      <c r="T46">
        <f ca="1">IFERROR(IF(0=LEN(ReferenceData!$S$46),"",ReferenceData!$S$46),"")</f>
        <v>1878750</v>
      </c>
      <c r="U46">
        <f ca="1">IFERROR(IF(0=LEN(ReferenceData!$R$46),"",ReferenceData!$R$46),"")</f>
        <v>2080960</v>
      </c>
      <c r="V46">
        <f ca="1">IFERROR(IF(0=LEN(ReferenceData!$Q$46),"",ReferenceData!$Q$46),"")</f>
        <v>1926130</v>
      </c>
      <c r="W46">
        <f ca="1">IFERROR(IF(0=LEN(ReferenceData!$P$46),"",ReferenceData!$P$46),"")</f>
        <v>2345860</v>
      </c>
      <c r="X46">
        <f ca="1">IFERROR(IF(0=LEN(ReferenceData!$O$46),"",ReferenceData!$O$46),"")</f>
        <v>2541580</v>
      </c>
      <c r="Y46">
        <f ca="1">IFERROR(IF(0=LEN(ReferenceData!$N$46),"",ReferenceData!$N$46),"")</f>
        <v>2511110</v>
      </c>
      <c r="Z46">
        <f ca="1">IFERROR(IF(0=LEN(ReferenceData!$M$46),"",ReferenceData!$M$46),"")</f>
        <v>1921050</v>
      </c>
      <c r="AA46">
        <f ca="1">IFERROR(IF(0=LEN(ReferenceData!$L$46),"",ReferenceData!$L$46),"")</f>
        <v>1870030</v>
      </c>
      <c r="AB46">
        <f ca="1">IFERROR(IF(0=LEN(ReferenceData!$K$46),"",ReferenceData!$K$46),"")</f>
        <v>2030110</v>
      </c>
      <c r="AC46">
        <f ca="1">IFERROR(IF(0=LEN(ReferenceData!$J$46),"",ReferenceData!$J$46),"")</f>
        <v>2073740</v>
      </c>
      <c r="AD46">
        <f ca="1">IFERROR(IF(0=LEN(ReferenceData!$I$46),"",ReferenceData!$I$46),"")</f>
        <v>2207350</v>
      </c>
      <c r="AE46">
        <f ca="1">IFERROR(IF(0=LEN(ReferenceData!$H$46),"",ReferenceData!$H$46),"")</f>
        <v>2130090</v>
      </c>
      <c r="AF46">
        <f ca="1">IFERROR(IF(0=LEN(ReferenceData!$G$46),"",ReferenceData!$G$46),"")</f>
        <v>2378210</v>
      </c>
      <c r="AG46">
        <f ca="1">IFERROR(IF(0=LEN(ReferenceData!$F$46),"",ReferenceData!$F$46),"")</f>
        <v>2512530</v>
      </c>
    </row>
    <row r="47" spans="1:33" x14ac:dyDescent="0.25">
      <c r="A47" t="str">
        <f>IFERROR(IF(0=LEN(ReferenceData!$A$47),"",ReferenceData!$A$47),"")</f>
        <v xml:space="preserve">            Active Non-Domestic Equity ETFs</v>
      </c>
      <c r="B47" t="str">
        <f>IFERROR(IF(0=LEN(ReferenceData!$B$47),"",ReferenceData!$B$47),"")</f>
        <v/>
      </c>
      <c r="C47" t="str">
        <f>IFERROR(IF(0=LEN(ReferenceData!$C$47),"",ReferenceData!$C$47),"")</f>
        <v/>
      </c>
      <c r="D47" t="str">
        <f>IFERROR(IF(0=LEN(ReferenceData!$D$47),"",ReferenceData!$D$47),"")</f>
        <v/>
      </c>
      <c r="E47" t="str">
        <f>IFERROR(IF(0=LEN(ReferenceData!$E$47),"",ReferenceData!$E$47),"")</f>
        <v>Expression</v>
      </c>
      <c r="F47">
        <f ca="1">IFERROR(IF(0=LEN(ReferenceData!$AG$47),"",ReferenceData!$AG$47),"")</f>
        <v>4090</v>
      </c>
      <c r="G47">
        <f ca="1">IFERROR(IF(0=LEN(ReferenceData!$AF$47),"",ReferenceData!$AF$47),"")</f>
        <v>4910</v>
      </c>
      <c r="H47">
        <f ca="1">IFERROR(IF(0=LEN(ReferenceData!$AE$47),"",ReferenceData!$AE$47),"")</f>
        <v>5850</v>
      </c>
      <c r="I47">
        <f ca="1">IFERROR(IF(0=LEN(ReferenceData!$AD$47),"",ReferenceData!$AD$47),"")</f>
        <v>7580</v>
      </c>
      <c r="J47">
        <f ca="1">IFERROR(IF(0=LEN(ReferenceData!$AC$47),"",ReferenceData!$AC$47),"")</f>
        <v>9790</v>
      </c>
      <c r="K47">
        <f ca="1">IFERROR(IF(0=LEN(ReferenceData!$AB$47),"",ReferenceData!$AB$47),"")</f>
        <v>10710</v>
      </c>
      <c r="L47">
        <f ca="1">IFERROR(IF(0=LEN(ReferenceData!$AA$47),"",ReferenceData!$AA$47),"")</f>
        <v>13310</v>
      </c>
      <c r="M47">
        <f ca="1">IFERROR(IF(0=LEN(ReferenceData!$Z$47),"",ReferenceData!$Z$47),"")</f>
        <v>12960</v>
      </c>
      <c r="N47">
        <f ca="1">IFERROR(IF(0=LEN(ReferenceData!$Y$47),"",ReferenceData!$Y$47),"")</f>
        <v>14360</v>
      </c>
      <c r="O47">
        <f ca="1">IFERROR(IF(0=LEN(ReferenceData!$X$47),"",ReferenceData!$X$47),"")</f>
        <v>17460</v>
      </c>
      <c r="P47">
        <f ca="1">IFERROR(IF(0=LEN(ReferenceData!$W$47),"",ReferenceData!$W$47),"")</f>
        <v>20790</v>
      </c>
      <c r="Q47">
        <f ca="1">IFERROR(IF(0=LEN(ReferenceData!$V$47),"",ReferenceData!$V$47),"")</f>
        <v>26030</v>
      </c>
      <c r="R47">
        <f ca="1">IFERROR(IF(0=LEN(ReferenceData!$U$47),"",ReferenceData!$U$47),"")</f>
        <v>28780</v>
      </c>
      <c r="S47">
        <f ca="1">IFERROR(IF(0=LEN(ReferenceData!$T$47),"",ReferenceData!$T$47),"")</f>
        <v>24480</v>
      </c>
      <c r="T47">
        <f ca="1">IFERROR(IF(0=LEN(ReferenceData!$S$47),"",ReferenceData!$S$47),"")</f>
        <v>27990</v>
      </c>
      <c r="U47">
        <f ca="1">IFERROR(IF(0=LEN(ReferenceData!$R$47),"",ReferenceData!$R$47),"")</f>
        <v>30530</v>
      </c>
      <c r="V47">
        <f ca="1">IFERROR(IF(0=LEN(ReferenceData!$Q$47),"",ReferenceData!$Q$47),"")</f>
        <v>25250</v>
      </c>
      <c r="W47">
        <f ca="1">IFERROR(IF(0=LEN(ReferenceData!$P$47),"",ReferenceData!$P$47),"")</f>
        <v>34670</v>
      </c>
      <c r="X47">
        <f ca="1">IFERROR(IF(0=LEN(ReferenceData!$O$47),"",ReferenceData!$O$47),"")</f>
        <v>50890</v>
      </c>
      <c r="Y47">
        <f ca="1">IFERROR(IF(0=LEN(ReferenceData!$N$47),"",ReferenceData!$N$47),"")</f>
        <v>54910</v>
      </c>
      <c r="Z47">
        <f ca="1">IFERROR(IF(0=LEN(ReferenceData!$M$47),"",ReferenceData!$M$47),"")</f>
        <v>58700</v>
      </c>
      <c r="AA47">
        <f ca="1">IFERROR(IF(0=LEN(ReferenceData!$L$47),"",ReferenceData!$L$47),"")</f>
        <v>72660</v>
      </c>
      <c r="AB47">
        <f ca="1">IFERROR(IF(0=LEN(ReferenceData!$K$47),"",ReferenceData!$K$47),"")</f>
        <v>89970</v>
      </c>
      <c r="AC47">
        <f ca="1">IFERROR(IF(0=LEN(ReferenceData!$J$47),"",ReferenceData!$J$47),"")</f>
        <v>93990</v>
      </c>
      <c r="AD47">
        <f ca="1">IFERROR(IF(0=LEN(ReferenceData!$I$47),"",ReferenceData!$I$47),"")</f>
        <v>119710</v>
      </c>
      <c r="AE47">
        <f ca="1">IFERROR(IF(0=LEN(ReferenceData!$H$47),"",ReferenceData!$H$47),"")</f>
        <v>142740</v>
      </c>
      <c r="AF47">
        <f ca="1">IFERROR(IF(0=LEN(ReferenceData!$G$47),"",ReferenceData!$G$47),"")</f>
        <v>188660</v>
      </c>
      <c r="AG47">
        <f ca="1">IFERROR(IF(0=LEN(ReferenceData!$F$47),"",ReferenceData!$F$47),"")</f>
        <v>235080</v>
      </c>
    </row>
    <row r="48" spans="1:33" x14ac:dyDescent="0.25">
      <c r="A48" t="str">
        <f>IFERROR(IF(0=LEN(ReferenceData!$A$48),"",ReferenceData!$A$48),"")</f>
        <v xml:space="preserve">    Money Market Fund Assets</v>
      </c>
      <c r="B48" t="str">
        <f>IFERROR(IF(0=LEN(ReferenceData!$B$48),"",ReferenceData!$B$48),"")</f>
        <v>.BIATMMF G Index</v>
      </c>
      <c r="C48" t="str">
        <f>IFERROR(IF(0=LEN(ReferenceData!$C$48),"",ReferenceData!$C$48),"")</f>
        <v>PR005</v>
      </c>
      <c r="D48" t="str">
        <f>IFERROR(IF(0=LEN(ReferenceData!$D$48),"",ReferenceData!$D$48),"")</f>
        <v>PX_LAST</v>
      </c>
      <c r="E48" t="str">
        <f>IFERROR(IF(0=LEN(ReferenceData!$E$48),"",ReferenceData!$E$48),"")</f>
        <v>Dynamic</v>
      </c>
      <c r="F48">
        <f ca="1">IFERROR(IF(0=LEN(ReferenceData!$AG$48),"",ReferenceData!$AG$48),"")</f>
        <v>2259310</v>
      </c>
      <c r="G48">
        <f ca="1">IFERROR(IF(0=LEN(ReferenceData!$AF$48),"",ReferenceData!$AF$48),"")</f>
        <v>2455210</v>
      </c>
      <c r="H48">
        <f ca="1">IFERROR(IF(0=LEN(ReferenceData!$AE$48),"",ReferenceData!$AE$48),"")</f>
        <v>2374490</v>
      </c>
      <c r="I48">
        <f ca="1">IFERROR(IF(0=LEN(ReferenceData!$AD$48),"",ReferenceData!$AD$48),"")</f>
        <v>2468760</v>
      </c>
      <c r="J48">
        <f ca="1">IFERROR(IF(0=LEN(ReferenceData!$AC$48),"",ReferenceData!$AC$48),"")</f>
        <v>2345900</v>
      </c>
      <c r="K48">
        <f ca="1">IFERROR(IF(0=LEN(ReferenceData!$AB$48),"",ReferenceData!$AB$48),"")</f>
        <v>2496190</v>
      </c>
      <c r="L48">
        <f ca="1">IFERROR(IF(0=LEN(ReferenceData!$AA$48),"",ReferenceData!$AA$48),"")</f>
        <v>2403080</v>
      </c>
      <c r="M48">
        <f ca="1">IFERROR(IF(0=LEN(ReferenceData!$Z$48),"",ReferenceData!$Z$48),"")</f>
        <v>2528710</v>
      </c>
      <c r="N48">
        <f ca="1">IFERROR(IF(0=LEN(ReferenceData!$Y$48),"",ReferenceData!$Y$48),"")</f>
        <v>2573040</v>
      </c>
      <c r="O48">
        <f ca="1">IFERROR(IF(0=LEN(ReferenceData!$X$48),"",ReferenceData!$X$48),"")</f>
        <v>2576040</v>
      </c>
      <c r="P48">
        <f ca="1">IFERROR(IF(0=LEN(ReferenceData!$W$48),"",ReferenceData!$W$48),"")</f>
        <v>2535130</v>
      </c>
      <c r="Q48">
        <f ca="1">IFERROR(IF(0=LEN(ReferenceData!$V$48),"",ReferenceData!$V$48),"")</f>
        <v>2711750</v>
      </c>
      <c r="R48">
        <f ca="1">IFERROR(IF(0=LEN(ReferenceData!$U$48),"",ReferenceData!$U$48),"")</f>
        <v>2805100</v>
      </c>
      <c r="S48">
        <f ca="1">IFERROR(IF(0=LEN(ReferenceData!$T$48),"",ReferenceData!$T$48),"")</f>
        <v>3101110</v>
      </c>
      <c r="T48">
        <f ca="1">IFERROR(IF(0=LEN(ReferenceData!$S$48),"",ReferenceData!$S$48),"")</f>
        <v>3301810</v>
      </c>
      <c r="U48">
        <f ca="1">IFERROR(IF(0=LEN(ReferenceData!$R$48),"",ReferenceData!$R$48),"")</f>
        <v>3653580</v>
      </c>
      <c r="V48">
        <f ca="1">IFERROR(IF(0=LEN(ReferenceData!$Q$48),"",ReferenceData!$Q$48),"")</f>
        <v>4700780</v>
      </c>
      <c r="W48">
        <f ca="1">IFERROR(IF(0=LEN(ReferenceData!$P$48),"",ReferenceData!$P$48),"")</f>
        <v>4333570</v>
      </c>
      <c r="X48">
        <f ca="1">IFERROR(IF(0=LEN(ReferenceData!$O$48),"",ReferenceData!$O$48),"")</f>
        <v>4520180</v>
      </c>
      <c r="Y48">
        <f ca="1">IFERROR(IF(0=LEN(ReferenceData!$N$48),"",ReferenceData!$N$48),"")</f>
        <v>4746740</v>
      </c>
      <c r="Z48">
        <f ca="1">IFERROR(IF(0=LEN(ReferenceData!$M$48),"",ReferenceData!$M$48),"")</f>
        <v>4525330</v>
      </c>
      <c r="AA48">
        <f ca="1">IFERROR(IF(0=LEN(ReferenceData!$L$48),"",ReferenceData!$L$48),"")</f>
        <v>4836920</v>
      </c>
      <c r="AB48">
        <f ca="1">IFERROR(IF(0=LEN(ReferenceData!$K$48),"",ReferenceData!$K$48),"")</f>
        <v>5489180</v>
      </c>
      <c r="AC48">
        <f ca="1">IFERROR(IF(0=LEN(ReferenceData!$J$48),"",ReferenceData!$J$48),"")</f>
        <v>5935110</v>
      </c>
      <c r="AD48">
        <f ca="1">IFERROR(IF(0=LEN(ReferenceData!$I$48),"",ReferenceData!$I$48),"")</f>
        <v>6134540</v>
      </c>
      <c r="AE48">
        <f ca="1">IFERROR(IF(0=LEN(ReferenceData!$H$48),"",ReferenceData!$H$48),"")</f>
        <v>6896160</v>
      </c>
      <c r="AF48">
        <f ca="1">IFERROR(IF(0=LEN(ReferenceData!$G$48),"",ReferenceData!$G$48),"")</f>
        <v>7053280</v>
      </c>
      <c r="AG48">
        <f ca="1">IFERROR(IF(0=LEN(ReferenceData!$F$48),"",ReferenceData!$F$48),"")</f>
        <v>7804590</v>
      </c>
    </row>
    <row r="49" spans="1:33" x14ac:dyDescent="0.25">
      <c r="A49" t="str">
        <f>IFERROR(IF(0=LEN(ReferenceData!$A$49),"",ReferenceData!$A$49),"")</f>
        <v xml:space="preserve">    Ratio of Money Mkt Fund Assets to Traditional Fund Assets</v>
      </c>
      <c r="B49" t="str">
        <f>IFERROR(IF(0=LEN(ReferenceData!$B$49),"",ReferenceData!$B$49),"")</f>
        <v/>
      </c>
      <c r="C49" t="str">
        <f>IFERROR(IF(0=LEN(ReferenceData!$C$49),"",ReferenceData!$C$49),"")</f>
        <v/>
      </c>
      <c r="D49" t="str">
        <f>IFERROR(IF(0=LEN(ReferenceData!$D$49),"",ReferenceData!$D$49),"")</f>
        <v/>
      </c>
      <c r="E49" t="str">
        <f>IFERROR(IF(0=LEN(ReferenceData!$E$49),"",ReferenceData!$E$49),"")</f>
        <v>Expression</v>
      </c>
      <c r="F49">
        <f ca="1">IFERROR(IF(0=LEN(ReferenceData!$AG$49),"",ReferenceData!$AG$49),"")</f>
        <v>25.46619626</v>
      </c>
      <c r="G49">
        <f ca="1">IFERROR(IF(0=LEN(ReferenceData!$AF$49),"",ReferenceData!$AF$49),"")</f>
        <v>25.286677999999998</v>
      </c>
      <c r="H49">
        <f ca="1">IFERROR(IF(0=LEN(ReferenceData!$AE$49),"",ReferenceData!$AE$49),"")</f>
        <v>22.437426290000001</v>
      </c>
      <c r="I49">
        <f ca="1">IFERROR(IF(0=LEN(ReferenceData!$AD$49),"",ReferenceData!$AD$49),"")</f>
        <v>20.91129243</v>
      </c>
      <c r="J49">
        <f ca="1">IFERROR(IF(0=LEN(ReferenceData!$AC$49),"",ReferenceData!$AC$49),"")</f>
        <v>18.181606810000002</v>
      </c>
      <c r="K49">
        <f ca="1">IFERROR(IF(0=LEN(ReferenceData!$AB$49),"",ReferenceData!$AB$49),"")</f>
        <v>19.172304889999999</v>
      </c>
      <c r="L49">
        <f ca="1">IFERROR(IF(0=LEN(ReferenceData!$AA$49),"",ReferenceData!$AA$49),"")</f>
        <v>17.742829820000001</v>
      </c>
      <c r="M49">
        <f ca="1">IFERROR(IF(0=LEN(ReferenceData!$Z$49),"",ReferenceData!$Z$49),"")</f>
        <v>19.40826032</v>
      </c>
      <c r="N49">
        <f ca="1">IFERROR(IF(0=LEN(ReferenceData!$Y$49),"",ReferenceData!$Y$49),"")</f>
        <v>18.86300306</v>
      </c>
      <c r="O49">
        <f ca="1">IFERROR(IF(0=LEN(ReferenceData!$X$49),"",ReferenceData!$X$49),"")</f>
        <v>17.983931999999999</v>
      </c>
      <c r="P49">
        <f ca="1">IFERROR(IF(0=LEN(ReferenceData!$W$49),"",ReferenceData!$W$49),"")</f>
        <v>15.928695879999999</v>
      </c>
      <c r="Q49">
        <f ca="1">IFERROR(IF(0=LEN(ReferenceData!$V$49),"",ReferenceData!$V$49),"")</f>
        <v>15.57588112</v>
      </c>
      <c r="R49">
        <f ca="1">IFERROR(IF(0=LEN(ReferenceData!$U$49),"",ReferenceData!$U$49),"")</f>
        <v>15.752086159999999</v>
      </c>
      <c r="S49">
        <f ca="1">IFERROR(IF(0=LEN(ReferenceData!$T$49),"",ReferenceData!$T$49),"")</f>
        <v>18.98829821</v>
      </c>
      <c r="T49">
        <f ca="1">IFERROR(IF(0=LEN(ReferenceData!$S$49),"",ReferenceData!$S$49),"")</f>
        <v>17.760566050000001</v>
      </c>
      <c r="U49">
        <f ca="1">IFERROR(IF(0=LEN(ReferenceData!$R$49),"",ReferenceData!$R$49),"")</f>
        <v>17.962422069999999</v>
      </c>
      <c r="V49">
        <f ca="1">IFERROR(IF(0=LEN(ReferenceData!$Q$49),"",ReferenceData!$Q$49),"")</f>
        <v>23.70763153</v>
      </c>
      <c r="W49">
        <f ca="1">IFERROR(IF(0=LEN(ReferenceData!$P$49),"",ReferenceData!$P$49),"")</f>
        <v>18.512647009999998</v>
      </c>
      <c r="X49">
        <f ca="1">IFERROR(IF(0=LEN(ReferenceData!$O$49),"",ReferenceData!$O$49),"")</f>
        <v>17.215404889999999</v>
      </c>
      <c r="Y49">
        <f ca="1">IFERROR(IF(0=LEN(ReferenceData!$N$49),"",ReferenceData!$N$49),"")</f>
        <v>17.202945719999999</v>
      </c>
      <c r="Z49">
        <f ca="1">IFERROR(IF(0=LEN(ReferenceData!$M$49),"",ReferenceData!$M$49),"")</f>
        <v>19.918264050000001</v>
      </c>
      <c r="AA49">
        <f ca="1">IFERROR(IF(0=LEN(ReferenceData!$L$49),"",ReferenceData!$L$49),"")</f>
        <v>21.36175137</v>
      </c>
      <c r="AB49">
        <f ca="1">IFERROR(IF(0=LEN(ReferenceData!$K$49),"",ReferenceData!$K$49),"")</f>
        <v>22.24564646</v>
      </c>
      <c r="AC49">
        <f ca="1">IFERROR(IF(0=LEN(ReferenceData!$J$49),"",ReferenceData!$J$49),"")</f>
        <v>22.605120429999999</v>
      </c>
      <c r="AD49">
        <f ca="1">IFERROR(IF(0=LEN(ReferenceData!$I$49),"",ReferenceData!$I$49),"")</f>
        <v>21.273746190000001</v>
      </c>
      <c r="AE49">
        <f ca="1">IFERROR(IF(0=LEN(ReferenceData!$H$49),"",ReferenceData!$H$49),"")</f>
        <v>22.550767480000001</v>
      </c>
      <c r="AF49">
        <f ca="1">IFERROR(IF(0=LEN(ReferenceData!$G$49),"",ReferenceData!$G$49),"")</f>
        <v>21.610836549999998</v>
      </c>
      <c r="AG49">
        <f ca="1">IFERROR(IF(0=LEN(ReferenceData!$F$49),"",ReferenceData!$F$49),"")</f>
        <v>22.244995679999999</v>
      </c>
    </row>
    <row r="50" spans="1:33" x14ac:dyDescent="0.25">
      <c r="A50" t="str">
        <f>IFERROR(IF(0=LEN(ReferenceData!$A$50),"",ReferenceData!$A$50),"")</f>
        <v xml:space="preserve">    Ratio of Money Mkt Fund Assets to Total US Equity Market Cap</v>
      </c>
      <c r="B50" t="str">
        <f>IFERROR(IF(0=LEN(ReferenceData!$B$50),"",ReferenceData!$B$50),"")</f>
        <v>WCAUUS Index</v>
      </c>
      <c r="C50" t="str">
        <f>IFERROR(IF(0=LEN(ReferenceData!$C$50),"",ReferenceData!$C$50),"")</f>
        <v/>
      </c>
      <c r="D50" t="str">
        <f>IFERROR(IF(0=LEN(ReferenceData!$D$50),"",ReferenceData!$D$50),"")</f>
        <v/>
      </c>
      <c r="E50" t="str">
        <f>IFERROR(IF(0=LEN(ReferenceData!$E$50),"",ReferenceData!$E$50),"")</f>
        <v>Expression</v>
      </c>
      <c r="F50">
        <f ca="1">IFERROR(IF(0=LEN(ReferenceData!$AG$50),"",ReferenceData!$AG$50),"")</f>
        <v>13.965038420000001</v>
      </c>
      <c r="G50">
        <f ca="1">IFERROR(IF(0=LEN(ReferenceData!$AF$50),"",ReferenceData!$AF$50),"")</f>
        <v>14.56610369</v>
      </c>
      <c r="H50">
        <f ca="1">IFERROR(IF(0=LEN(ReferenceData!$AE$50),"",ReferenceData!$AE$50),"")</f>
        <v>12.48051308</v>
      </c>
      <c r="I50">
        <f ca="1">IFERROR(IF(0=LEN(ReferenceData!$AD$50),"",ReferenceData!$AD$50),"")</f>
        <v>11.080282179999999</v>
      </c>
      <c r="J50">
        <f ca="1">IFERROR(IF(0=LEN(ReferenceData!$AC$50),"",ReferenceData!$AC$50),"")</f>
        <v>9.9454587459999999</v>
      </c>
      <c r="K50">
        <f ca="1">IFERROR(IF(0=LEN(ReferenceData!$AB$50),"",ReferenceData!$AB$50),"")</f>
        <v>10.224537679999999</v>
      </c>
      <c r="L50">
        <f ca="1">IFERROR(IF(0=LEN(ReferenceData!$AA$50),"",ReferenceData!$AA$50),"")</f>
        <v>9.7969094489999993</v>
      </c>
      <c r="M50">
        <f ca="1">IFERROR(IF(0=LEN(ReferenceData!$Z$50),"",ReferenceData!$Z$50),"")</f>
        <v>10.740294609999999</v>
      </c>
      <c r="N50">
        <f ca="1">IFERROR(IF(0=LEN(ReferenceData!$Y$50),"",ReferenceData!$Y$50),"")</f>
        <v>10.989364869999999</v>
      </c>
      <c r="O50">
        <f ca="1">IFERROR(IF(0=LEN(ReferenceData!$X$50),"",ReferenceData!$X$50),"")</f>
        <v>10.220572069999999</v>
      </c>
      <c r="P50">
        <f ca="1">IFERROR(IF(0=LEN(ReferenceData!$W$50),"",ReferenceData!$W$50),"")</f>
        <v>9.3902189679999992</v>
      </c>
      <c r="Q50">
        <f ca="1">IFERROR(IF(0=LEN(ReferenceData!$V$50),"",ReferenceData!$V$50),"")</f>
        <v>9.1475970019999995</v>
      </c>
      <c r="R50">
        <f ca="1">IFERROR(IF(0=LEN(ReferenceData!$U$50),"",ReferenceData!$U$50),"")</f>
        <v>9.2884755210000005</v>
      </c>
      <c r="S50">
        <f ca="1">IFERROR(IF(0=LEN(ReferenceData!$T$50),"",ReferenceData!$T$50),"")</f>
        <v>11.540303010000001</v>
      </c>
      <c r="T50">
        <f ca="1">IFERROR(IF(0=LEN(ReferenceData!$S$50),"",ReferenceData!$S$50),"")</f>
        <v>10.37467747</v>
      </c>
      <c r="U50">
        <f ca="1">IFERROR(IF(0=LEN(ReferenceData!$R$50),"",ReferenceData!$R$50),"")</f>
        <v>10.62833198</v>
      </c>
      <c r="V50">
        <f ca="1">IFERROR(IF(0=LEN(ReferenceData!$Q$50),"",ReferenceData!$Q$50),"")</f>
        <v>14.33268885</v>
      </c>
      <c r="W50">
        <f ca="1">IFERROR(IF(0=LEN(ReferenceData!$P$50),"",ReferenceData!$P$50),"")</f>
        <v>10.16297546</v>
      </c>
      <c r="X50">
        <f ca="1">IFERROR(IF(0=LEN(ReferenceData!$O$50),"",ReferenceData!$O$50),"")</f>
        <v>9.1044299730000002</v>
      </c>
      <c r="Y50">
        <f ca="1">IFERROR(IF(0=LEN(ReferenceData!$N$50),"",ReferenceData!$N$50),"")</f>
        <v>8.8287517310000005</v>
      </c>
      <c r="Z50">
        <f ca="1">IFERROR(IF(0=LEN(ReferenceData!$M$50),"",ReferenceData!$M$50),"")</f>
        <v>10.936270990000001</v>
      </c>
      <c r="AA50">
        <f ca="1">IFERROR(IF(0=LEN(ReferenceData!$L$50),"",ReferenceData!$L$50),"")</f>
        <v>11.779574070000001</v>
      </c>
      <c r="AB50">
        <f ca="1">IFERROR(IF(0=LEN(ReferenceData!$K$50),"",ReferenceData!$K$50),"")</f>
        <v>11.74968329</v>
      </c>
      <c r="AC50">
        <f ca="1">IFERROR(IF(0=LEN(ReferenceData!$J$50),"",ReferenceData!$J$50),"")</f>
        <v>11.760302980000001</v>
      </c>
      <c r="AD50">
        <f ca="1">IFERROR(IF(0=LEN(ReferenceData!$I$50),"",ReferenceData!$I$50),"")</f>
        <v>10.78616991</v>
      </c>
      <c r="AE50">
        <f ca="1">IFERROR(IF(0=LEN(ReferenceData!$H$50),"",ReferenceData!$H$50),"")</f>
        <v>11.125507300000001</v>
      </c>
      <c r="AF50">
        <f ca="1">IFERROR(IF(0=LEN(ReferenceData!$G$50),"",ReferenceData!$G$50),"")</f>
        <v>10.89993121</v>
      </c>
      <c r="AG50" t="str">
        <f ca="1">IFERROR(IF(0=LEN(ReferenceData!$F$50),"",ReferenceData!$F$50),"")</f>
        <v/>
      </c>
    </row>
    <row r="51" spans="1:33" x14ac:dyDescent="0.25">
      <c r="A51" t="str">
        <f>IFERROR(IF(0=LEN(ReferenceData!$A$51),"",ReferenceData!$A$51),"")</f>
        <v xml:space="preserve">    Ratio of Money Mkt Fund Assets to US M2 Money Supply</v>
      </c>
      <c r="B51" t="str">
        <f>IFERROR(IF(0=LEN(ReferenceData!$B$51),"",ReferenceData!$B$51),"")</f>
        <v>M2 Index</v>
      </c>
      <c r="C51" t="str">
        <f>IFERROR(IF(0=LEN(ReferenceData!$C$51),"",ReferenceData!$C$51),"")</f>
        <v/>
      </c>
      <c r="D51" t="str">
        <f>IFERROR(IF(0=LEN(ReferenceData!$D$51),"",ReferenceData!$D$51),"")</f>
        <v/>
      </c>
      <c r="E51" t="str">
        <f>IFERROR(IF(0=LEN(ReferenceData!$E$51),"",ReferenceData!$E$51),"")</f>
        <v>Expression</v>
      </c>
      <c r="F51">
        <f ca="1">IFERROR(IF(0=LEN(ReferenceData!$AG$51),"",ReferenceData!$AG$51),"")</f>
        <v>22.564217800000002</v>
      </c>
      <c r="G51">
        <f ca="1">IFERROR(IF(0=LEN(ReferenceData!$AF$51),"",ReferenceData!$AF$51),"")</f>
        <v>23.440772949999999</v>
      </c>
      <c r="H51">
        <f ca="1">IFERROR(IF(0=LEN(ReferenceData!$AE$51),"",ReferenceData!$AE$51),"")</f>
        <v>22.20955356</v>
      </c>
      <c r="I51">
        <f ca="1">IFERROR(IF(0=LEN(ReferenceData!$AD$51),"",ReferenceData!$AD$51),"")</f>
        <v>22.347989030000001</v>
      </c>
      <c r="J51">
        <f ca="1">IFERROR(IF(0=LEN(ReferenceData!$AC$51),"",ReferenceData!$AC$51),"")</f>
        <v>20.609164700000001</v>
      </c>
      <c r="K51">
        <f ca="1">IFERROR(IF(0=LEN(ReferenceData!$AB$51),"",ReferenceData!$AB$51),"")</f>
        <v>21.333133920000002</v>
      </c>
      <c r="L51">
        <f ca="1">IFERROR(IF(0=LEN(ReferenceData!$AA$51),"",ReferenceData!$AA$51),"")</f>
        <v>20.017993100000002</v>
      </c>
      <c r="M51">
        <f ca="1">IFERROR(IF(0=LEN(ReferenceData!$Z$51),"",ReferenceData!$Z$51),"")</f>
        <v>20.445254769999998</v>
      </c>
      <c r="N51">
        <f ca="1">IFERROR(IF(0=LEN(ReferenceData!$Y$51),"",ReferenceData!$Y$51),"")</f>
        <v>20.046902630000002</v>
      </c>
      <c r="O51">
        <f ca="1">IFERROR(IF(0=LEN(ReferenceData!$X$51),"",ReferenceData!$X$51),"")</f>
        <v>19.47738511</v>
      </c>
      <c r="P51">
        <f ca="1">IFERROR(IF(0=LEN(ReferenceData!$W$51),"",ReferenceData!$W$51),"")</f>
        <v>18.698268930000001</v>
      </c>
      <c r="Q51">
        <f ca="1">IFERROR(IF(0=LEN(ReferenceData!$V$51),"",ReferenceData!$V$51),"")</f>
        <v>19.54625725</v>
      </c>
      <c r="R51">
        <f ca="1">IFERROR(IF(0=LEN(ReferenceData!$U$51),"",ReferenceData!$U$51),"")</f>
        <v>19.880649479999999</v>
      </c>
      <c r="S51">
        <f ca="1">IFERROR(IF(0=LEN(ReferenceData!$T$51),"",ReferenceData!$T$51),"")</f>
        <v>21.561989390000001</v>
      </c>
      <c r="T51">
        <f ca="1">IFERROR(IF(0=LEN(ReferenceData!$S$51),"",ReferenceData!$S$51),"")</f>
        <v>22.35332747</v>
      </c>
      <c r="U51">
        <f ca="1">IFERROR(IF(0=LEN(ReferenceData!$R$51),"",ReferenceData!$R$51),"")</f>
        <v>23.805546140000001</v>
      </c>
      <c r="V51">
        <f ca="1">IFERROR(IF(0=LEN(ReferenceData!$Q$51),"",ReferenceData!$Q$51),"")</f>
        <v>25.913034849999999</v>
      </c>
      <c r="W51">
        <f ca="1">IFERROR(IF(0=LEN(ReferenceData!$P$51),"",ReferenceData!$P$51),"")</f>
        <v>22.649715149999999</v>
      </c>
      <c r="X51">
        <f ca="1">IFERROR(IF(0=LEN(ReferenceData!$O$51),"",ReferenceData!$O$51),"")</f>
        <v>22.078845690000001</v>
      </c>
      <c r="Y51">
        <f ca="1">IFERROR(IF(0=LEN(ReferenceData!$N$51),"",ReferenceData!$N$51),"")</f>
        <v>22.107783090000002</v>
      </c>
      <c r="Z51">
        <f ca="1">IFERROR(IF(0=LEN(ReferenceData!$M$51),"",ReferenceData!$M$51),"")</f>
        <v>20.909074109999999</v>
      </c>
      <c r="AA51">
        <f ca="1">IFERROR(IF(0=LEN(ReferenceData!$L$51),"",ReferenceData!$L$51),"")</f>
        <v>22.79523069</v>
      </c>
      <c r="AB51">
        <f ca="1">IFERROR(IF(0=LEN(ReferenceData!$K$51),"",ReferenceData!$K$51),"")</f>
        <v>26.41225635</v>
      </c>
      <c r="AC51">
        <f ca="1">IFERROR(IF(0=LEN(ReferenceData!$J$51),"",ReferenceData!$J$51),"")</f>
        <v>28.670089950000001</v>
      </c>
      <c r="AD51">
        <f ca="1">IFERROR(IF(0=LEN(ReferenceData!$I$51),"",ReferenceData!$I$51),"")</f>
        <v>29.138416670000002</v>
      </c>
      <c r="AE51">
        <f ca="1">IFERROR(IF(0=LEN(ReferenceData!$H$51),"",ReferenceData!$H$51),"")</f>
        <v>32.188195759999999</v>
      </c>
      <c r="AF51">
        <f ca="1">IFERROR(IF(0=LEN(ReferenceData!$G$51),"",ReferenceData!$G$51),"")</f>
        <v>32.144377349999999</v>
      </c>
      <c r="AG51" t="str">
        <f ca="1">IFERROR(IF(0=LEN(ReferenceData!$F$51),"",ReferenceData!$F$51),"")</f>
        <v/>
      </c>
    </row>
    <row r="52" spans="1:33" x14ac:dyDescent="0.25">
      <c r="A52" t="str">
        <f>IFERROR(IF(0=LEN(ReferenceData!$A$52),"",ReferenceData!$A$52),"")</f>
        <v>ETF &amp; Mutual fund AUM by Type ($MM)</v>
      </c>
      <c r="B52" t="str">
        <f>IFERROR(IF(0=LEN(ReferenceData!$B$52),"",ReferenceData!$B$52),"")</f>
        <v/>
      </c>
      <c r="C52" t="str">
        <f>IFERROR(IF(0=LEN(ReferenceData!$C$52),"",ReferenceData!$C$52),"")</f>
        <v/>
      </c>
      <c r="D52" t="str">
        <f>IFERROR(IF(0=LEN(ReferenceData!$D$52),"",ReferenceData!$D$52),"")</f>
        <v/>
      </c>
      <c r="E52" t="str">
        <f>IFERROR(IF(0=LEN(ReferenceData!$E$52),"",ReferenceData!$E$52),"")</f>
        <v>Heading</v>
      </c>
      <c r="F52" t="str">
        <f>IFERROR(IF(0=LEN(ReferenceData!$AG$52),"",ReferenceData!$AG$52),"")</f>
        <v/>
      </c>
      <c r="G52" t="str">
        <f>IFERROR(IF(0=LEN(ReferenceData!$AF$52),"",ReferenceData!$AF$52),"")</f>
        <v/>
      </c>
      <c r="H52" t="str">
        <f>IFERROR(IF(0=LEN(ReferenceData!$AE$52),"",ReferenceData!$AE$52),"")</f>
        <v/>
      </c>
      <c r="I52" t="str">
        <f>IFERROR(IF(0=LEN(ReferenceData!$AD$52),"",ReferenceData!$AD$52),"")</f>
        <v/>
      </c>
      <c r="J52" t="str">
        <f>IFERROR(IF(0=LEN(ReferenceData!$AC$52),"",ReferenceData!$AC$52),"")</f>
        <v/>
      </c>
      <c r="K52" t="str">
        <f>IFERROR(IF(0=LEN(ReferenceData!$AB$52),"",ReferenceData!$AB$52),"")</f>
        <v/>
      </c>
      <c r="L52" t="str">
        <f>IFERROR(IF(0=LEN(ReferenceData!$AA$52),"",ReferenceData!$AA$52),"")</f>
        <v/>
      </c>
      <c r="M52" t="str">
        <f>IFERROR(IF(0=LEN(ReferenceData!$Z$52),"",ReferenceData!$Z$52),"")</f>
        <v/>
      </c>
      <c r="N52" t="str">
        <f>IFERROR(IF(0=LEN(ReferenceData!$Y$52),"",ReferenceData!$Y$52),"")</f>
        <v/>
      </c>
      <c r="O52" t="str">
        <f>IFERROR(IF(0=LEN(ReferenceData!$X$52),"",ReferenceData!$X$52),"")</f>
        <v/>
      </c>
      <c r="P52" t="str">
        <f>IFERROR(IF(0=LEN(ReferenceData!$W$52),"",ReferenceData!$W$52),"")</f>
        <v/>
      </c>
      <c r="Q52" t="str">
        <f>IFERROR(IF(0=LEN(ReferenceData!$V$52),"",ReferenceData!$V$52),"")</f>
        <v/>
      </c>
      <c r="R52" t="str">
        <f>IFERROR(IF(0=LEN(ReferenceData!$U$52),"",ReferenceData!$U$52),"")</f>
        <v/>
      </c>
      <c r="S52" t="str">
        <f>IFERROR(IF(0=LEN(ReferenceData!$T$52),"",ReferenceData!$T$52),"")</f>
        <v/>
      </c>
      <c r="T52" t="str">
        <f>IFERROR(IF(0=LEN(ReferenceData!$S$52),"",ReferenceData!$S$52),"")</f>
        <v/>
      </c>
      <c r="U52" t="str">
        <f>IFERROR(IF(0=LEN(ReferenceData!$R$52),"",ReferenceData!$R$52),"")</f>
        <v/>
      </c>
      <c r="V52" t="str">
        <f>IFERROR(IF(0=LEN(ReferenceData!$Q$52),"",ReferenceData!$Q$52),"")</f>
        <v/>
      </c>
      <c r="W52" t="str">
        <f>IFERROR(IF(0=LEN(ReferenceData!$P$52),"",ReferenceData!$P$52),"")</f>
        <v/>
      </c>
      <c r="X52" t="str">
        <f>IFERROR(IF(0=LEN(ReferenceData!$O$52),"",ReferenceData!$O$52),"")</f>
        <v/>
      </c>
      <c r="Y52" t="str">
        <f>IFERROR(IF(0=LEN(ReferenceData!$N$52),"",ReferenceData!$N$52),"")</f>
        <v/>
      </c>
      <c r="Z52" t="str">
        <f>IFERROR(IF(0=LEN(ReferenceData!$M$52),"",ReferenceData!$M$52),"")</f>
        <v/>
      </c>
      <c r="AA52" t="str">
        <f>IFERROR(IF(0=LEN(ReferenceData!$L$52),"",ReferenceData!$L$52),"")</f>
        <v/>
      </c>
      <c r="AB52" t="str">
        <f>IFERROR(IF(0=LEN(ReferenceData!$K$52),"",ReferenceData!$K$52),"")</f>
        <v/>
      </c>
      <c r="AC52" t="str">
        <f>IFERROR(IF(0=LEN(ReferenceData!$J$52),"",ReferenceData!$J$52),"")</f>
        <v/>
      </c>
      <c r="AD52" t="str">
        <f>IFERROR(IF(0=LEN(ReferenceData!$I$52),"",ReferenceData!$I$52),"")</f>
        <v/>
      </c>
      <c r="AE52" t="str">
        <f>IFERROR(IF(0=LEN(ReferenceData!$H$52),"",ReferenceData!$H$52),"")</f>
        <v/>
      </c>
      <c r="AF52" t="str">
        <f>IFERROR(IF(0=LEN(ReferenceData!$G$52),"",ReferenceData!$G$52),"")</f>
        <v/>
      </c>
      <c r="AG52" t="str">
        <f>IFERROR(IF(0=LEN(ReferenceData!$F$52),"",ReferenceData!$F$52),"")</f>
        <v/>
      </c>
    </row>
    <row r="53" spans="1:33" x14ac:dyDescent="0.25">
      <c r="A53" t="str">
        <f>IFERROR(IF(0=LEN(ReferenceData!$A$53),"",ReferenceData!$A$53),"")</f>
        <v xml:space="preserve">    All ETFs &amp; Mutual Funds (estimated, smoothed)</v>
      </c>
      <c r="B53" t="str">
        <f>IFERROR(IF(0=LEN(ReferenceData!$B$53),"",ReferenceData!$B$53),"")</f>
        <v/>
      </c>
      <c r="C53" t="str">
        <f>IFERROR(IF(0=LEN(ReferenceData!$C$53),"",ReferenceData!$C$53),"")</f>
        <v/>
      </c>
      <c r="D53" t="str">
        <f>IFERROR(IF(0=LEN(ReferenceData!$D$53),"",ReferenceData!$D$53),"")</f>
        <v/>
      </c>
      <c r="E53" t="str">
        <f>IFERROR(IF(0=LEN(ReferenceData!$E$53),"",ReferenceData!$E$53),"")</f>
        <v>Sum</v>
      </c>
      <c r="F53">
        <f ca="1">IFERROR(IF(0=LEN(ReferenceData!$AG$53),"",ReferenceData!$AG$53),"")</f>
        <v>8871800</v>
      </c>
      <c r="G53">
        <f ca="1">IFERROR(IF(0=LEN(ReferenceData!$AF$53),"",ReferenceData!$AF$53),"")</f>
        <v>9709500</v>
      </c>
      <c r="H53">
        <f ca="1">IFERROR(IF(0=LEN(ReferenceData!$AE$53),"",ReferenceData!$AE$53),"")</f>
        <v>10582720</v>
      </c>
      <c r="I53">
        <f ca="1">IFERROR(IF(0=LEN(ReferenceData!$AD$53),"",ReferenceData!$AD$53),"")</f>
        <v>11805870</v>
      </c>
      <c r="J53">
        <f ca="1">IFERROR(IF(0=LEN(ReferenceData!$AC$53),"",ReferenceData!$AC$53),"")</f>
        <v>12902600</v>
      </c>
      <c r="K53">
        <f ca="1">IFERROR(IF(0=LEN(ReferenceData!$AB$53),"",ReferenceData!$AB$53),"")</f>
        <v>13019770</v>
      </c>
      <c r="L53">
        <f ca="1">IFERROR(IF(0=LEN(ReferenceData!$AA$53),"",ReferenceData!$AA$53),"")</f>
        <v>13543950</v>
      </c>
      <c r="M53">
        <f ca="1">IFERROR(IF(0=LEN(ReferenceData!$Z$53),"",ReferenceData!$Z$53),"")</f>
        <v>13029040</v>
      </c>
      <c r="N53">
        <f ca="1">IFERROR(IF(0=LEN(ReferenceData!$Y$53),"",ReferenceData!$Y$53),"")</f>
        <v>13640670</v>
      </c>
      <c r="O53">
        <f ca="1">IFERROR(IF(0=LEN(ReferenceData!$X$53),"",ReferenceData!$X$53),"")</f>
        <v>14324120</v>
      </c>
      <c r="P53">
        <f ca="1">IFERROR(IF(0=LEN(ReferenceData!$W$53),"",ReferenceData!$W$53),"")</f>
        <v>15915490</v>
      </c>
      <c r="Q53">
        <f ca="1">IFERROR(IF(0=LEN(ReferenceData!$V$53),"",ReferenceData!$V$53),"")</f>
        <v>17409930</v>
      </c>
      <c r="R53">
        <f ca="1">IFERROR(IF(0=LEN(ReferenceData!$U$53),"",ReferenceData!$U$53),"")</f>
        <v>17807800</v>
      </c>
      <c r="S53">
        <f ca="1">IFERROR(IF(0=LEN(ReferenceData!$T$53),"",ReferenceData!$T$53),"")</f>
        <v>16331690</v>
      </c>
      <c r="T53">
        <f ca="1">IFERROR(IF(0=LEN(ReferenceData!$S$53),"",ReferenceData!$S$53),"")</f>
        <v>18590680</v>
      </c>
      <c r="U53">
        <f ca="1">IFERROR(IF(0=LEN(ReferenceData!$R$53),"",ReferenceData!$R$53),"")</f>
        <v>20340130</v>
      </c>
      <c r="V53">
        <f ca="1">IFERROR(IF(0=LEN(ReferenceData!$Q$53),"",ReferenceData!$Q$53),"")</f>
        <v>19828130</v>
      </c>
      <c r="W53">
        <f ca="1">IFERROR(IF(0=LEN(ReferenceData!$P$53),"",ReferenceData!$P$53),"")</f>
        <v>23408700</v>
      </c>
      <c r="X53">
        <f ca="1">IFERROR(IF(0=LEN(ReferenceData!$O$53),"",ReferenceData!$O$53),"")</f>
        <v>26256600</v>
      </c>
      <c r="Y53">
        <f ca="1">IFERROR(IF(0=LEN(ReferenceData!$N$53),"",ReferenceData!$N$53),"")</f>
        <v>27592600</v>
      </c>
      <c r="Z53">
        <f ca="1">IFERROR(IF(0=LEN(ReferenceData!$M$53),"",ReferenceData!$M$53),"")</f>
        <v>22719500</v>
      </c>
      <c r="AA53">
        <f ca="1">IFERROR(IF(0=LEN(ReferenceData!$L$53),"",ReferenceData!$L$53),"")</f>
        <v>22642900</v>
      </c>
      <c r="AB53">
        <f ca="1">IFERROR(IF(0=LEN(ReferenceData!$K$53),"",ReferenceData!$K$53),"")</f>
        <v>24675300</v>
      </c>
      <c r="AC53">
        <f ca="1">IFERROR(IF(0=LEN(ReferenceData!$J$53),"",ReferenceData!$J$53),"")</f>
        <v>26255600</v>
      </c>
      <c r="AD53">
        <f ca="1">IFERROR(IF(0=LEN(ReferenceData!$I$53),"",ReferenceData!$I$53),"")</f>
        <v>28836200</v>
      </c>
      <c r="AE53">
        <f ca="1">IFERROR(IF(0=LEN(ReferenceData!$H$53),"",ReferenceData!$H$53),"")</f>
        <v>30580600</v>
      </c>
      <c r="AF53">
        <f ca="1">IFERROR(IF(0=LEN(ReferenceData!$G$53),"",ReferenceData!$G$53),"")</f>
        <v>32637700</v>
      </c>
      <c r="AG53">
        <f ca="1">IFERROR(IF(0=LEN(ReferenceData!$F$53),"",ReferenceData!$F$53),"")</f>
        <v>35084700</v>
      </c>
    </row>
    <row r="54" spans="1:33" x14ac:dyDescent="0.25">
      <c r="A54" t="str">
        <f>IFERROR(IF(0=LEN(ReferenceData!$A$54),"",ReferenceData!$A$54),"")</f>
        <v xml:space="preserve">        Mutual Funds</v>
      </c>
      <c r="B54" t="str">
        <f>IFERROR(IF(0=LEN(ReferenceData!$B$54),"",ReferenceData!$B$54),"")</f>
        <v/>
      </c>
      <c r="C54" t="str">
        <f>IFERROR(IF(0=LEN(ReferenceData!$C$54),"",ReferenceData!$C$54),"")</f>
        <v/>
      </c>
      <c r="D54" t="str">
        <f>IFERROR(IF(0=LEN(ReferenceData!$D$54),"",ReferenceData!$D$54),"")</f>
        <v/>
      </c>
      <c r="E54" t="str">
        <f>IFERROR(IF(0=LEN(ReferenceData!$E$54),"",ReferenceData!$E$54),"")</f>
        <v>Expression</v>
      </c>
      <c r="F54">
        <f ca="1">IFERROR(IF(0=LEN(ReferenceData!$AG$54),"",ReferenceData!$AG$54),"")</f>
        <v>7699140</v>
      </c>
      <c r="G54">
        <f ca="1">IFERROR(IF(0=LEN(ReferenceData!$AF$54),"",ReferenceData!$AF$54),"")</f>
        <v>8388070</v>
      </c>
      <c r="H54">
        <f ca="1">IFERROR(IF(0=LEN(ReferenceData!$AE$54),"",ReferenceData!$AE$54),"")</f>
        <v>9131150</v>
      </c>
      <c r="I54">
        <f ca="1">IFERROR(IF(0=LEN(ReferenceData!$AD$54),"",ReferenceData!$AD$54),"")</f>
        <v>10122290</v>
      </c>
      <c r="J54">
        <f ca="1">IFERROR(IF(0=LEN(ReferenceData!$AC$54),"",ReferenceData!$AC$54),"")</f>
        <v>11048400</v>
      </c>
      <c r="K54">
        <f ca="1">IFERROR(IF(0=LEN(ReferenceData!$AB$54),"",ReferenceData!$AB$54),"")</f>
        <v>11037520</v>
      </c>
      <c r="L54">
        <f ca="1">IFERROR(IF(0=LEN(ReferenceData!$AA$54),"",ReferenceData!$AA$54),"")</f>
        <v>11405980</v>
      </c>
      <c r="M54">
        <f ca="1">IFERROR(IF(0=LEN(ReferenceData!$Z$54),"",ReferenceData!$Z$54),"")</f>
        <v>10930990</v>
      </c>
      <c r="N54">
        <f ca="1">IFERROR(IF(0=LEN(ReferenceData!$Y$54),"",ReferenceData!$Y$54),"")</f>
        <v>11366320</v>
      </c>
      <c r="O54">
        <f ca="1">IFERROR(IF(0=LEN(ReferenceData!$X$54),"",ReferenceData!$X$54),"")</f>
        <v>11738470</v>
      </c>
      <c r="P54">
        <f ca="1">IFERROR(IF(0=LEN(ReferenceData!$W$54),"",ReferenceData!$W$54),"")</f>
        <v>12911950</v>
      </c>
      <c r="Q54">
        <f ca="1">IFERROR(IF(0=LEN(ReferenceData!$V$54),"",ReferenceData!$V$54),"")</f>
        <v>13911140</v>
      </c>
      <c r="R54">
        <f ca="1">IFERROR(IF(0=LEN(ReferenceData!$U$54),"",ReferenceData!$U$54),"")</f>
        <v>14203910</v>
      </c>
      <c r="S54">
        <f ca="1">IFERROR(IF(0=LEN(ReferenceData!$T$54),"",ReferenceData!$T$54),"")</f>
        <v>12877700</v>
      </c>
      <c r="T54">
        <f ca="1">IFERROR(IF(0=LEN(ReferenceData!$S$54),"",ReferenceData!$S$54),"")</f>
        <v>14568500</v>
      </c>
      <c r="U54">
        <f ca="1">IFERROR(IF(0=LEN(ReferenceData!$R$54),"",ReferenceData!$R$54),"")</f>
        <v>15846370</v>
      </c>
      <c r="V54">
        <f ca="1">IFERROR(IF(0=LEN(ReferenceData!$Q$54),"",ReferenceData!$Q$54),"")</f>
        <v>15361140</v>
      </c>
      <c r="W54">
        <f ca="1">IFERROR(IF(0=LEN(ReferenceData!$P$54),"",ReferenceData!$P$54),"")</f>
        <v>17823690</v>
      </c>
      <c r="X54">
        <f ca="1">IFERROR(IF(0=LEN(ReferenceData!$O$54),"",ReferenceData!$O$54),"")</f>
        <v>19660920</v>
      </c>
      <c r="Y54">
        <f ca="1">IFERROR(IF(0=LEN(ReferenceData!$N$54),"",ReferenceData!$N$54),"")</f>
        <v>20357360</v>
      </c>
      <c r="Z54">
        <f ca="1">IFERROR(IF(0=LEN(ReferenceData!$M$54),"",ReferenceData!$M$54),"")</f>
        <v>16443140</v>
      </c>
      <c r="AA54">
        <f ca="1">IFERROR(IF(0=LEN(ReferenceData!$L$54),"",ReferenceData!$L$54),"")</f>
        <v>16060910</v>
      </c>
      <c r="AB54">
        <f ca="1">IFERROR(IF(0=LEN(ReferenceData!$K$54),"",ReferenceData!$K$54),"")</f>
        <v>17315390</v>
      </c>
      <c r="AC54">
        <f ca="1">IFERROR(IF(0=LEN(ReferenceData!$J$54),"",ReferenceData!$J$54),"")</f>
        <v>18107990</v>
      </c>
      <c r="AD54">
        <f ca="1">IFERROR(IF(0=LEN(ReferenceData!$I$54),"",ReferenceData!$I$54),"")</f>
        <v>19548480</v>
      </c>
      <c r="AE54">
        <f ca="1">IFERROR(IF(0=LEN(ReferenceData!$H$54),"",ReferenceData!$H$54),"")</f>
        <v>20150880</v>
      </c>
      <c r="AF54">
        <f ca="1">IFERROR(IF(0=LEN(ReferenceData!$G$54),"",ReferenceData!$G$54),"")</f>
        <v>21097640</v>
      </c>
      <c r="AG54">
        <f ca="1">IFERROR(IF(0=LEN(ReferenceData!$F$54),"",ReferenceData!$F$54),"")</f>
        <v>22075840</v>
      </c>
    </row>
    <row r="55" spans="1:33" x14ac:dyDescent="0.25">
      <c r="A55" t="str">
        <f>IFERROR(IF(0=LEN(ReferenceData!$A$55),"",ReferenceData!$A$55),"")</f>
        <v xml:space="preserve">        ETFs</v>
      </c>
      <c r="B55" t="str">
        <f>IFERROR(IF(0=LEN(ReferenceData!$B$55),"",ReferenceData!$B$55),"")</f>
        <v/>
      </c>
      <c r="C55" t="str">
        <f>IFERROR(IF(0=LEN(ReferenceData!$C$55),"",ReferenceData!$C$55),"")</f>
        <v/>
      </c>
      <c r="D55" t="str">
        <f>IFERROR(IF(0=LEN(ReferenceData!$D$55),"",ReferenceData!$D$55),"")</f>
        <v/>
      </c>
      <c r="E55" t="str">
        <f>IFERROR(IF(0=LEN(ReferenceData!$E$55),"",ReferenceData!$E$55),"")</f>
        <v>Expression</v>
      </c>
      <c r="F55">
        <f ca="1">IFERROR(IF(0=LEN(ReferenceData!$AG$55),"",ReferenceData!$AG$55),"")</f>
        <v>1172660</v>
      </c>
      <c r="G55">
        <f ca="1">IFERROR(IF(0=LEN(ReferenceData!$AF$55),"",ReferenceData!$AF$55),"")</f>
        <v>1321430</v>
      </c>
      <c r="H55">
        <f ca="1">IFERROR(IF(0=LEN(ReferenceData!$AE$55),"",ReferenceData!$AE$55),"")</f>
        <v>1451570</v>
      </c>
      <c r="I55">
        <f ca="1">IFERROR(IF(0=LEN(ReferenceData!$AD$55),"",ReferenceData!$AD$55),"")</f>
        <v>1683580</v>
      </c>
      <c r="J55">
        <f ca="1">IFERROR(IF(0=LEN(ReferenceData!$AC$55),"",ReferenceData!$AC$55),"")</f>
        <v>1854200</v>
      </c>
      <c r="K55">
        <f ca="1">IFERROR(IF(0=LEN(ReferenceData!$AB$55),"",ReferenceData!$AB$55),"")</f>
        <v>1982250</v>
      </c>
      <c r="L55">
        <f ca="1">IFERROR(IF(0=LEN(ReferenceData!$AA$55),"",ReferenceData!$AA$55),"")</f>
        <v>2137970</v>
      </c>
      <c r="M55">
        <f ca="1">IFERROR(IF(0=LEN(ReferenceData!$Z$55),"",ReferenceData!$Z$55),"")</f>
        <v>2098050</v>
      </c>
      <c r="N55">
        <f ca="1">IFERROR(IF(0=LEN(ReferenceData!$Y$55),"",ReferenceData!$Y$55),"")</f>
        <v>2274350</v>
      </c>
      <c r="O55">
        <f ca="1">IFERROR(IF(0=LEN(ReferenceData!$X$55),"",ReferenceData!$X$55),"")</f>
        <v>2585650</v>
      </c>
      <c r="P55">
        <f ca="1">IFERROR(IF(0=LEN(ReferenceData!$W$55),"",ReferenceData!$W$55),"")</f>
        <v>3003540</v>
      </c>
      <c r="Q55">
        <f ca="1">IFERROR(IF(0=LEN(ReferenceData!$V$55),"",ReferenceData!$V$55),"")</f>
        <v>3498790</v>
      </c>
      <c r="R55">
        <f ca="1">IFERROR(IF(0=LEN(ReferenceData!$U$55),"",ReferenceData!$U$55),"")</f>
        <v>3603890</v>
      </c>
      <c r="S55">
        <f ca="1">IFERROR(IF(0=LEN(ReferenceData!$T$55),"",ReferenceData!$T$55),"")</f>
        <v>3453990</v>
      </c>
      <c r="T55">
        <f ca="1">IFERROR(IF(0=LEN(ReferenceData!$S$55),"",ReferenceData!$S$55),"")</f>
        <v>4022180</v>
      </c>
      <c r="U55">
        <f ca="1">IFERROR(IF(0=LEN(ReferenceData!$R$55),"",ReferenceData!$R$55),"")</f>
        <v>4493760</v>
      </c>
      <c r="V55">
        <f ca="1">IFERROR(IF(0=LEN(ReferenceData!$Q$55),"",ReferenceData!$Q$55),"")</f>
        <v>4466990</v>
      </c>
      <c r="W55">
        <f ca="1">IFERROR(IF(0=LEN(ReferenceData!$P$55),"",ReferenceData!$P$55),"")</f>
        <v>5585010</v>
      </c>
      <c r="X55">
        <f ca="1">IFERROR(IF(0=LEN(ReferenceData!$O$55),"",ReferenceData!$O$55),"")</f>
        <v>6595680</v>
      </c>
      <c r="Y55">
        <f ca="1">IFERROR(IF(0=LEN(ReferenceData!$N$55),"",ReferenceData!$N$55),"")</f>
        <v>7235240</v>
      </c>
      <c r="Z55">
        <f ca="1">IFERROR(IF(0=LEN(ReferenceData!$M$55),"",ReferenceData!$M$55),"")</f>
        <v>6276360</v>
      </c>
      <c r="AA55">
        <f ca="1">IFERROR(IF(0=LEN(ReferenceData!$L$55),"",ReferenceData!$L$55),"")</f>
        <v>6581990</v>
      </c>
      <c r="AB55">
        <f ca="1">IFERROR(IF(0=LEN(ReferenceData!$K$55),"",ReferenceData!$K$55),"")</f>
        <v>7359910</v>
      </c>
      <c r="AC55">
        <f ca="1">IFERROR(IF(0=LEN(ReferenceData!$J$55),"",ReferenceData!$J$55),"")</f>
        <v>8147610</v>
      </c>
      <c r="AD55">
        <f ca="1">IFERROR(IF(0=LEN(ReferenceData!$I$55),"",ReferenceData!$I$55),"")</f>
        <v>9287720</v>
      </c>
      <c r="AE55">
        <f ca="1">IFERROR(IF(0=LEN(ReferenceData!$H$55),"",ReferenceData!$H$55),"")</f>
        <v>10429720</v>
      </c>
      <c r="AF55">
        <f ca="1">IFERROR(IF(0=LEN(ReferenceData!$G$55),"",ReferenceData!$G$55),"")</f>
        <v>11540060</v>
      </c>
      <c r="AG55">
        <f ca="1">IFERROR(IF(0=LEN(ReferenceData!$F$55),"",ReferenceData!$F$55),"")</f>
        <v>13008860</v>
      </c>
    </row>
    <row r="56" spans="1:33" x14ac:dyDescent="0.25">
      <c r="A56" t="str">
        <f>IFERROR(IF(0=LEN(ReferenceData!$A$56),"",ReferenceData!$A$56),"")</f>
        <v>US Listed ETFs &amp; Mutual Funds</v>
      </c>
      <c r="B56" t="str">
        <f>IFERROR(IF(0=LEN(ReferenceData!$B$56),"",ReferenceData!$B$56),"")</f>
        <v/>
      </c>
      <c r="C56" t="str">
        <f>IFERROR(IF(0=LEN(ReferenceData!$C$56),"",ReferenceData!$C$56),"")</f>
        <v/>
      </c>
      <c r="D56" t="str">
        <f>IFERROR(IF(0=LEN(ReferenceData!$D$56),"",ReferenceData!$D$56),"")</f>
        <v/>
      </c>
      <c r="E56" t="str">
        <f>IFERROR(IF(0=LEN(ReferenceData!$E$56),"",ReferenceData!$E$56),"")</f>
        <v>Heading</v>
      </c>
      <c r="F56" t="str">
        <f>IFERROR(IF(0=LEN(ReferenceData!$AG$56),"",ReferenceData!$AG$56),"")</f>
        <v/>
      </c>
      <c r="G56" t="str">
        <f>IFERROR(IF(0=LEN(ReferenceData!$AF$56),"",ReferenceData!$AF$56),"")</f>
        <v/>
      </c>
      <c r="H56" t="str">
        <f>IFERROR(IF(0=LEN(ReferenceData!$AE$56),"",ReferenceData!$AE$56),"")</f>
        <v/>
      </c>
      <c r="I56" t="str">
        <f>IFERROR(IF(0=LEN(ReferenceData!$AD$56),"",ReferenceData!$AD$56),"")</f>
        <v/>
      </c>
      <c r="J56" t="str">
        <f>IFERROR(IF(0=LEN(ReferenceData!$AC$56),"",ReferenceData!$AC$56),"")</f>
        <v/>
      </c>
      <c r="K56" t="str">
        <f>IFERROR(IF(0=LEN(ReferenceData!$AB$56),"",ReferenceData!$AB$56),"")</f>
        <v/>
      </c>
      <c r="L56" t="str">
        <f>IFERROR(IF(0=LEN(ReferenceData!$AA$56),"",ReferenceData!$AA$56),"")</f>
        <v/>
      </c>
      <c r="M56" t="str">
        <f>IFERROR(IF(0=LEN(ReferenceData!$Z$56),"",ReferenceData!$Z$56),"")</f>
        <v/>
      </c>
      <c r="N56" t="str">
        <f>IFERROR(IF(0=LEN(ReferenceData!$Y$56),"",ReferenceData!$Y$56),"")</f>
        <v/>
      </c>
      <c r="O56" t="str">
        <f>IFERROR(IF(0=LEN(ReferenceData!$X$56),"",ReferenceData!$X$56),"")</f>
        <v/>
      </c>
      <c r="P56" t="str">
        <f>IFERROR(IF(0=LEN(ReferenceData!$W$56),"",ReferenceData!$W$56),"")</f>
        <v/>
      </c>
      <c r="Q56" t="str">
        <f>IFERROR(IF(0=LEN(ReferenceData!$V$56),"",ReferenceData!$V$56),"")</f>
        <v/>
      </c>
      <c r="R56" t="str">
        <f>IFERROR(IF(0=LEN(ReferenceData!$U$56),"",ReferenceData!$U$56),"")</f>
        <v/>
      </c>
      <c r="S56" t="str">
        <f>IFERROR(IF(0=LEN(ReferenceData!$T$56),"",ReferenceData!$T$56),"")</f>
        <v/>
      </c>
      <c r="T56" t="str">
        <f>IFERROR(IF(0=LEN(ReferenceData!$S$56),"",ReferenceData!$S$56),"")</f>
        <v/>
      </c>
      <c r="U56" t="str">
        <f>IFERROR(IF(0=LEN(ReferenceData!$R$56),"",ReferenceData!$R$56),"")</f>
        <v/>
      </c>
      <c r="V56" t="str">
        <f>IFERROR(IF(0=LEN(ReferenceData!$Q$56),"",ReferenceData!$Q$56),"")</f>
        <v/>
      </c>
      <c r="W56" t="str">
        <f>IFERROR(IF(0=LEN(ReferenceData!$P$56),"",ReferenceData!$P$56),"")</f>
        <v/>
      </c>
      <c r="X56" t="str">
        <f>IFERROR(IF(0=LEN(ReferenceData!$O$56),"",ReferenceData!$O$56),"")</f>
        <v/>
      </c>
      <c r="Y56" t="str">
        <f>IFERROR(IF(0=LEN(ReferenceData!$N$56),"",ReferenceData!$N$56),"")</f>
        <v/>
      </c>
      <c r="Z56" t="str">
        <f>IFERROR(IF(0=LEN(ReferenceData!$M$56),"",ReferenceData!$M$56),"")</f>
        <v/>
      </c>
      <c r="AA56" t="str">
        <f>IFERROR(IF(0=LEN(ReferenceData!$L$56),"",ReferenceData!$L$56),"")</f>
        <v/>
      </c>
      <c r="AB56" t="str">
        <f>IFERROR(IF(0=LEN(ReferenceData!$K$56),"",ReferenceData!$K$56),"")</f>
        <v/>
      </c>
      <c r="AC56" t="str">
        <f>IFERROR(IF(0=LEN(ReferenceData!$J$56),"",ReferenceData!$J$56),"")</f>
        <v/>
      </c>
      <c r="AD56" t="str">
        <f>IFERROR(IF(0=LEN(ReferenceData!$I$56),"",ReferenceData!$I$56),"")</f>
        <v/>
      </c>
      <c r="AE56" t="str">
        <f>IFERROR(IF(0=LEN(ReferenceData!$H$56),"",ReferenceData!$H$56),"")</f>
        <v/>
      </c>
      <c r="AF56" t="str">
        <f>IFERROR(IF(0=LEN(ReferenceData!$G$56),"",ReferenceData!$G$56),"")</f>
        <v/>
      </c>
      <c r="AG56" t="str">
        <f>IFERROR(IF(0=LEN(ReferenceData!$F$56),"",ReferenceData!$F$56),"")</f>
        <v/>
      </c>
    </row>
    <row r="57" spans="1:33" x14ac:dyDescent="0.25">
      <c r="A57" t="str">
        <f>IFERROR(IF(0=LEN(ReferenceData!$A$57),"",ReferenceData!$A$57),"")</f>
        <v>Data is based on estimates from sample of over 10,000  funds</v>
      </c>
      <c r="B57" t="str">
        <f>IFERROR(IF(0=LEN(ReferenceData!$B$57),"",ReferenceData!$B$57),"")</f>
        <v/>
      </c>
      <c r="C57" t="str">
        <f>IFERROR(IF(0=LEN(ReferenceData!$C$57),"",ReferenceData!$C$57),"")</f>
        <v/>
      </c>
      <c r="D57" t="str">
        <f>IFERROR(IF(0=LEN(ReferenceData!$D$57),"",ReferenceData!$D$57),"")</f>
        <v/>
      </c>
      <c r="E57" t="str">
        <f>IFERROR(IF(0=LEN(ReferenceData!$E$57),"",ReferenceData!$E$57),"")</f>
        <v>Heading</v>
      </c>
      <c r="F57" t="str">
        <f>IFERROR(IF(0=LEN(ReferenceData!$AG$57),"",ReferenceData!$AG$57),"")</f>
        <v/>
      </c>
      <c r="G57" t="str">
        <f>IFERROR(IF(0=LEN(ReferenceData!$AF$57),"",ReferenceData!$AF$57),"")</f>
        <v/>
      </c>
      <c r="H57" t="str">
        <f>IFERROR(IF(0=LEN(ReferenceData!$AE$57),"",ReferenceData!$AE$57),"")</f>
        <v/>
      </c>
      <c r="I57" t="str">
        <f>IFERROR(IF(0=LEN(ReferenceData!$AD$57),"",ReferenceData!$AD$57),"")</f>
        <v/>
      </c>
      <c r="J57" t="str">
        <f>IFERROR(IF(0=LEN(ReferenceData!$AC$57),"",ReferenceData!$AC$57),"")</f>
        <v/>
      </c>
      <c r="K57" t="str">
        <f>IFERROR(IF(0=LEN(ReferenceData!$AB$57),"",ReferenceData!$AB$57),"")</f>
        <v/>
      </c>
      <c r="L57" t="str">
        <f>IFERROR(IF(0=LEN(ReferenceData!$AA$57),"",ReferenceData!$AA$57),"")</f>
        <v/>
      </c>
      <c r="M57" t="str">
        <f>IFERROR(IF(0=LEN(ReferenceData!$Z$57),"",ReferenceData!$Z$57),"")</f>
        <v/>
      </c>
      <c r="N57" t="str">
        <f>IFERROR(IF(0=LEN(ReferenceData!$Y$57),"",ReferenceData!$Y$57),"")</f>
        <v/>
      </c>
      <c r="O57" t="str">
        <f>IFERROR(IF(0=LEN(ReferenceData!$X$57),"",ReferenceData!$X$57),"")</f>
        <v/>
      </c>
      <c r="P57" t="str">
        <f>IFERROR(IF(0=LEN(ReferenceData!$W$57),"",ReferenceData!$W$57),"")</f>
        <v/>
      </c>
      <c r="Q57" t="str">
        <f>IFERROR(IF(0=LEN(ReferenceData!$V$57),"",ReferenceData!$V$57),"")</f>
        <v/>
      </c>
      <c r="R57" t="str">
        <f>IFERROR(IF(0=LEN(ReferenceData!$U$57),"",ReferenceData!$U$57),"")</f>
        <v/>
      </c>
      <c r="S57" t="str">
        <f>IFERROR(IF(0=LEN(ReferenceData!$T$57),"",ReferenceData!$T$57),"")</f>
        <v/>
      </c>
      <c r="T57" t="str">
        <f>IFERROR(IF(0=LEN(ReferenceData!$S$57),"",ReferenceData!$S$57),"")</f>
        <v/>
      </c>
      <c r="U57" t="str">
        <f>IFERROR(IF(0=LEN(ReferenceData!$R$57),"",ReferenceData!$R$57),"")</f>
        <v/>
      </c>
      <c r="V57" t="str">
        <f>IFERROR(IF(0=LEN(ReferenceData!$Q$57),"",ReferenceData!$Q$57),"")</f>
        <v/>
      </c>
      <c r="W57" t="str">
        <f>IFERROR(IF(0=LEN(ReferenceData!$P$57),"",ReferenceData!$P$57),"")</f>
        <v/>
      </c>
      <c r="X57" t="str">
        <f>IFERROR(IF(0=LEN(ReferenceData!$O$57),"",ReferenceData!$O$57),"")</f>
        <v/>
      </c>
      <c r="Y57" t="str">
        <f>IFERROR(IF(0=LEN(ReferenceData!$N$57),"",ReferenceData!$N$57),"")</f>
        <v/>
      </c>
      <c r="Z57" t="str">
        <f>IFERROR(IF(0=LEN(ReferenceData!$M$57),"",ReferenceData!$M$57),"")</f>
        <v/>
      </c>
      <c r="AA57" t="str">
        <f>IFERROR(IF(0=LEN(ReferenceData!$L$57),"",ReferenceData!$L$57),"")</f>
        <v/>
      </c>
      <c r="AB57" t="str">
        <f>IFERROR(IF(0=LEN(ReferenceData!$K$57),"",ReferenceData!$K$57),"")</f>
        <v/>
      </c>
      <c r="AC57" t="str">
        <f>IFERROR(IF(0=LEN(ReferenceData!$J$57),"",ReferenceData!$J$57),"")</f>
        <v/>
      </c>
      <c r="AD57" t="str">
        <f>IFERROR(IF(0=LEN(ReferenceData!$I$57),"",ReferenceData!$I$57),"")</f>
        <v/>
      </c>
      <c r="AE57" t="str">
        <f>IFERROR(IF(0=LEN(ReferenceData!$H$57),"",ReferenceData!$H$57),"")</f>
        <v/>
      </c>
      <c r="AF57" t="str">
        <f>IFERROR(IF(0=LEN(ReferenceData!$G$57),"",ReferenceData!$G$57),"")</f>
        <v/>
      </c>
      <c r="AG57" t="str">
        <f>IFERROR(IF(0=LEN(ReferenceData!$F$57),"",ReferenceData!$F$57),"")</f>
        <v/>
      </c>
    </row>
    <row r="58" spans="1:33" x14ac:dyDescent="0.25">
      <c r="A58" t="str">
        <f>IFERROR(IF(0=LEN(ReferenceData!$A$58),"",ReferenceData!$A$58),"")</f>
        <v>Source: BI &amp; BBG Funds Database</v>
      </c>
      <c r="B58" t="str">
        <f>IFERROR(IF(0=LEN(ReferenceData!$B$58),"",ReferenceData!$B$58),"")</f>
        <v/>
      </c>
      <c r="C58" t="str">
        <f>IFERROR(IF(0=LEN(ReferenceData!$C$58),"",ReferenceData!$C$58),"")</f>
        <v/>
      </c>
      <c r="D58" t="str">
        <f>IFERROR(IF(0=LEN(ReferenceData!$D$58),"",ReferenceData!$D$58),"")</f>
        <v/>
      </c>
      <c r="E58" t="str">
        <f>IFERROR(IF(0=LEN(ReferenceData!$E$58),"",ReferenceData!$E$58),"")</f>
        <v>Heading</v>
      </c>
      <c r="F58" t="str">
        <f>IFERROR(IF(0=LEN(ReferenceData!$AG$58),"",ReferenceData!$AG$58),"")</f>
        <v/>
      </c>
      <c r="G58" t="str">
        <f>IFERROR(IF(0=LEN(ReferenceData!$AF$58),"",ReferenceData!$AF$58),"")</f>
        <v/>
      </c>
      <c r="H58" t="str">
        <f>IFERROR(IF(0=LEN(ReferenceData!$AE$58),"",ReferenceData!$AE$58),"")</f>
        <v/>
      </c>
      <c r="I58" t="str">
        <f>IFERROR(IF(0=LEN(ReferenceData!$AD$58),"",ReferenceData!$AD$58),"")</f>
        <v/>
      </c>
      <c r="J58" t="str">
        <f>IFERROR(IF(0=LEN(ReferenceData!$AC$58),"",ReferenceData!$AC$58),"")</f>
        <v/>
      </c>
      <c r="K58" t="str">
        <f>IFERROR(IF(0=LEN(ReferenceData!$AB$58),"",ReferenceData!$AB$58),"")</f>
        <v/>
      </c>
      <c r="L58" t="str">
        <f>IFERROR(IF(0=LEN(ReferenceData!$AA$58),"",ReferenceData!$AA$58),"")</f>
        <v/>
      </c>
      <c r="M58" t="str">
        <f>IFERROR(IF(0=LEN(ReferenceData!$Z$58),"",ReferenceData!$Z$58),"")</f>
        <v/>
      </c>
      <c r="N58" t="str">
        <f>IFERROR(IF(0=LEN(ReferenceData!$Y$58),"",ReferenceData!$Y$58),"")</f>
        <v/>
      </c>
      <c r="O58" t="str">
        <f>IFERROR(IF(0=LEN(ReferenceData!$X$58),"",ReferenceData!$X$58),"")</f>
        <v/>
      </c>
      <c r="P58" t="str">
        <f>IFERROR(IF(0=LEN(ReferenceData!$W$58),"",ReferenceData!$W$58),"")</f>
        <v/>
      </c>
      <c r="Q58" t="str">
        <f>IFERROR(IF(0=LEN(ReferenceData!$V$58),"",ReferenceData!$V$58),"")</f>
        <v/>
      </c>
      <c r="R58" t="str">
        <f>IFERROR(IF(0=LEN(ReferenceData!$U$58),"",ReferenceData!$U$58),"")</f>
        <v/>
      </c>
      <c r="S58" t="str">
        <f>IFERROR(IF(0=LEN(ReferenceData!$T$58),"",ReferenceData!$T$58),"")</f>
        <v/>
      </c>
      <c r="T58" t="str">
        <f>IFERROR(IF(0=LEN(ReferenceData!$S$58),"",ReferenceData!$S$58),"")</f>
        <v/>
      </c>
      <c r="U58" t="str">
        <f>IFERROR(IF(0=LEN(ReferenceData!$R$58),"",ReferenceData!$R$58),"")</f>
        <v/>
      </c>
      <c r="V58" t="str">
        <f>IFERROR(IF(0=LEN(ReferenceData!$Q$58),"",ReferenceData!$Q$58),"")</f>
        <v/>
      </c>
      <c r="W58" t="str">
        <f>IFERROR(IF(0=LEN(ReferenceData!$P$58),"",ReferenceData!$P$58),"")</f>
        <v/>
      </c>
      <c r="X58" t="str">
        <f>IFERROR(IF(0=LEN(ReferenceData!$O$58),"",ReferenceData!$O$58),"")</f>
        <v/>
      </c>
      <c r="Y58" t="str">
        <f>IFERROR(IF(0=LEN(ReferenceData!$N$58),"",ReferenceData!$N$58),"")</f>
        <v/>
      </c>
      <c r="Z58" t="str">
        <f>IFERROR(IF(0=LEN(ReferenceData!$M$58),"",ReferenceData!$M$58),"")</f>
        <v/>
      </c>
      <c r="AA58" t="str">
        <f>IFERROR(IF(0=LEN(ReferenceData!$L$58),"",ReferenceData!$L$58),"")</f>
        <v/>
      </c>
      <c r="AB58" t="str">
        <f>IFERROR(IF(0=LEN(ReferenceData!$K$58),"",ReferenceData!$K$58),"")</f>
        <v/>
      </c>
      <c r="AC58" t="str">
        <f>IFERROR(IF(0=LEN(ReferenceData!$J$58),"",ReferenceData!$J$58),"")</f>
        <v/>
      </c>
      <c r="AD58" t="str">
        <f>IFERROR(IF(0=LEN(ReferenceData!$I$58),"",ReferenceData!$I$58),"")</f>
        <v/>
      </c>
      <c r="AE58" t="str">
        <f>IFERROR(IF(0=LEN(ReferenceData!$H$58),"",ReferenceData!$H$58),"")</f>
        <v/>
      </c>
      <c r="AF58" t="str">
        <f>IFERROR(IF(0=LEN(ReferenceData!$G$58),"",ReferenceData!$G$58),"")</f>
        <v/>
      </c>
      <c r="AG58" t="str">
        <f>IFERROR(IF(0=LEN(ReferenceData!$F$58),"",ReferenceData!$F$58),"")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27"/>
  <sheetViews>
    <sheetView workbookViewId="0"/>
  </sheetViews>
  <sheetFormatPr defaultRowHeight="15" x14ac:dyDescent="0.25"/>
  <cols>
    <col min="1" max="1" width="56.28515625" customWidth="1"/>
    <col min="2" max="2" width="15.85546875" customWidth="1"/>
    <col min="3" max="61" width="9.140625" bestFit="1" customWidth="1"/>
  </cols>
  <sheetData>
    <row r="1" spans="1:6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5">
      <c r="A2" s="1" t="str">
        <f>"Description"</f>
        <v>Description</v>
      </c>
      <c r="B2" s="1" t="str">
        <f>"Ticker"</f>
        <v>Ticker</v>
      </c>
      <c r="C2" s="1" t="str">
        <f>"Field ID"</f>
        <v>Field ID</v>
      </c>
      <c r="D2" s="1" t="str">
        <f>"Field Mnemonic"</f>
        <v>Field Mnemonic</v>
      </c>
      <c r="E2" s="1" t="str">
        <f>"Data State"</f>
        <v>Data State</v>
      </c>
      <c r="F2" s="1" t="str">
        <f ca="1">ReferenceData!$C$118</f>
        <v>2025 S2</v>
      </c>
      <c r="G2" s="1" t="str">
        <f ca="1">ReferenceData!$D$118</f>
        <v>2025 S1</v>
      </c>
      <c r="H2" s="1" t="str">
        <f ca="1">ReferenceData!$E$118</f>
        <v>2024 S2</v>
      </c>
      <c r="I2" s="1" t="str">
        <f ca="1">ReferenceData!$F$118</f>
        <v>2024 S1</v>
      </c>
      <c r="J2" s="1" t="str">
        <f ca="1">ReferenceData!$G$118</f>
        <v>2023 S2</v>
      </c>
      <c r="K2" s="1" t="str">
        <f ca="1">ReferenceData!$H$118</f>
        <v>2023 S1</v>
      </c>
      <c r="L2" s="1" t="str">
        <f ca="1">ReferenceData!$I$118</f>
        <v>2022 S2</v>
      </c>
      <c r="M2" s="1" t="str">
        <f ca="1">ReferenceData!$J$118</f>
        <v>2022 S1</v>
      </c>
      <c r="N2" s="1" t="str">
        <f ca="1">ReferenceData!$K$118</f>
        <v>2021 S2</v>
      </c>
      <c r="O2" s="1" t="str">
        <f ca="1">ReferenceData!$L$118</f>
        <v>2021 S1</v>
      </c>
      <c r="P2" s="1" t="str">
        <f ca="1">ReferenceData!$M$118</f>
        <v>2020 S2</v>
      </c>
      <c r="Q2" s="1" t="str">
        <f ca="1">ReferenceData!$N$118</f>
        <v>2020 S1</v>
      </c>
      <c r="R2" s="1" t="str">
        <f ca="1">ReferenceData!$O$118</f>
        <v>2019 S2</v>
      </c>
      <c r="S2" s="1" t="str">
        <f ca="1">ReferenceData!$P$118</f>
        <v>2019 S1</v>
      </c>
      <c r="T2" s="1" t="str">
        <f ca="1">ReferenceData!$Q$118</f>
        <v>2018 S2</v>
      </c>
      <c r="U2" s="1" t="str">
        <f ca="1">ReferenceData!$R$118</f>
        <v>2018 S1</v>
      </c>
      <c r="V2" s="1" t="str">
        <f ca="1">ReferenceData!$S$118</f>
        <v>2017 S2</v>
      </c>
      <c r="W2" s="1" t="str">
        <f ca="1">ReferenceData!$T$118</f>
        <v>2017 S1</v>
      </c>
      <c r="X2" s="1" t="str">
        <f ca="1">ReferenceData!$U$118</f>
        <v>2016 S2</v>
      </c>
      <c r="Y2" s="1" t="str">
        <f ca="1">ReferenceData!$V$118</f>
        <v>2016 S1</v>
      </c>
      <c r="Z2" s="1" t="str">
        <f ca="1">ReferenceData!$W$118</f>
        <v>2015 S2</v>
      </c>
      <c r="AA2" s="1" t="str">
        <f ca="1">ReferenceData!$X$118</f>
        <v>2015 S1</v>
      </c>
      <c r="AB2" s="1" t="str">
        <f ca="1">ReferenceData!$Y$118</f>
        <v>2014 S2</v>
      </c>
      <c r="AC2" s="1" t="str">
        <f ca="1">ReferenceData!$Z$118</f>
        <v>2014 S1</v>
      </c>
      <c r="AD2" s="1" t="str">
        <f ca="1">ReferenceData!$AA$118</f>
        <v>2013 S2</v>
      </c>
      <c r="AE2" s="1" t="str">
        <f ca="1">ReferenceData!$AB$118</f>
        <v>2013 S1</v>
      </c>
      <c r="AF2" s="1" t="str">
        <f ca="1">ReferenceData!$AC$118</f>
        <v>2012 S2</v>
      </c>
      <c r="AG2" s="1" t="str">
        <f ca="1">ReferenceData!$AD$118</f>
        <v>2012 S1</v>
      </c>
      <c r="AH2" t="str">
        <f ca="1">$C$118</f>
        <v>2025 S2</v>
      </c>
      <c r="AI2" t="str">
        <f ca="1">$D$118</f>
        <v>2025 S1</v>
      </c>
      <c r="AJ2" t="str">
        <f ca="1">$E$118</f>
        <v>2024 S2</v>
      </c>
      <c r="AK2" t="str">
        <f ca="1">$F$118</f>
        <v>2024 S1</v>
      </c>
      <c r="AL2" t="str">
        <f ca="1">$G$118</f>
        <v>2023 S2</v>
      </c>
      <c r="AM2" t="str">
        <f ca="1">$H$118</f>
        <v>2023 S1</v>
      </c>
      <c r="AN2" t="str">
        <f ca="1">$I$118</f>
        <v>2022 S2</v>
      </c>
      <c r="AO2" t="str">
        <f ca="1">$J$118</f>
        <v>2022 S1</v>
      </c>
      <c r="AP2" t="str">
        <f ca="1">$K$118</f>
        <v>2021 S2</v>
      </c>
      <c r="AQ2" t="str">
        <f ca="1">$L$118</f>
        <v>2021 S1</v>
      </c>
      <c r="AR2" t="str">
        <f ca="1">$M$118</f>
        <v>2020 S2</v>
      </c>
      <c r="AS2" t="str">
        <f ca="1">$N$118</f>
        <v>2020 S1</v>
      </c>
      <c r="AT2" t="str">
        <f ca="1">$O$118</f>
        <v>2019 S2</v>
      </c>
      <c r="AU2" t="str">
        <f ca="1">$P$118</f>
        <v>2019 S1</v>
      </c>
      <c r="AV2" t="str">
        <f ca="1">$Q$118</f>
        <v>2018 S2</v>
      </c>
      <c r="AW2" t="str">
        <f ca="1">$R$118</f>
        <v>2018 S1</v>
      </c>
      <c r="AX2" t="str">
        <f ca="1">$S$118</f>
        <v>2017 S2</v>
      </c>
      <c r="AY2" t="str">
        <f ca="1">$T$118</f>
        <v>2017 S1</v>
      </c>
      <c r="AZ2" t="str">
        <f ca="1">$U$118</f>
        <v>2016 S2</v>
      </c>
      <c r="BA2" t="str">
        <f ca="1">$V$118</f>
        <v>2016 S1</v>
      </c>
      <c r="BB2" t="str">
        <f ca="1">$W$118</f>
        <v>2015 S2</v>
      </c>
      <c r="BC2" t="str">
        <f ca="1">$X$118</f>
        <v>2015 S1</v>
      </c>
      <c r="BD2" t="str">
        <f ca="1">$Y$118</f>
        <v>2014 S2</v>
      </c>
      <c r="BE2" t="str">
        <f ca="1">$Z$118</f>
        <v>2014 S1</v>
      </c>
      <c r="BF2" t="str">
        <f ca="1">$AA$118</f>
        <v>2013 S2</v>
      </c>
      <c r="BG2" t="str">
        <f ca="1">$AB$118</f>
        <v>2013 S1</v>
      </c>
      <c r="BH2" t="str">
        <f ca="1">$AC$118</f>
        <v>2012 S2</v>
      </c>
      <c r="BI2" t="str">
        <f ca="1">$AD$118</f>
        <v>2012 S1</v>
      </c>
    </row>
    <row r="3" spans="1:61" x14ac:dyDescent="0.25">
      <c r="A3" t="str">
        <f>"ETFs as % Of Total Fund Assets (MF &amp; ETF)"</f>
        <v>ETFs as % Of Total Fund Assets (MF &amp; ETF)</v>
      </c>
      <c r="B3" t="str">
        <f>""</f>
        <v/>
      </c>
      <c r="E3" t="str">
        <f>"Expression"</f>
        <v>Expression</v>
      </c>
      <c r="F3">
        <f ca="1">IF(AND($B$74=1,LEN($F$16) * LEN($F$19) * LEN($F$13)&gt;0),(($F$16+$F$19)/($F$13))*100,HLOOKUP(INDIRECT(ADDRESS(2,COLUMN())),OFFSET($AH$2,0,0,ROW()-1,28),ROW()-1,FALSE))</f>
        <v>37.078441599999998</v>
      </c>
      <c r="G3">
        <f ca="1">IF(AND($B$74=1,LEN($G$16) * LEN($G$19) * LEN($G$13)&gt;0),(($G$16+$G$19)/($G$13))*100,HLOOKUP(INDIRECT(ADDRESS(2,COLUMN())),OFFSET($AH$2,0,0,ROW()-1,28),ROW()-1,FALSE))</f>
        <v>35.358067509999998</v>
      </c>
      <c r="H3">
        <f ca="1">IF(AND($B$74=1,LEN($H$16) * LEN($H$19) * LEN($H$13)&gt;0),(($H$16+$H$19)/($H$13))*100,HLOOKUP(INDIRECT(ADDRESS(2,COLUMN())),OFFSET($AH$2,0,0,ROW()-1,28),ROW()-1,FALSE))</f>
        <v>34.105674839999999</v>
      </c>
      <c r="I3">
        <f ca="1">IF(AND($B$74=1,LEN($I$16) * LEN($I$19) * LEN($I$13)&gt;0),(($I$16+$I$19)/($I$13))*100,HLOOKUP(INDIRECT(ADDRESS(2,COLUMN())),OFFSET($AH$2,0,0,ROW()-1,28),ROW()-1,FALSE))</f>
        <v>32.208543429999999</v>
      </c>
      <c r="J3">
        <f ca="1">IF(AND($B$74=1,LEN($J$16) * LEN($J$19) * LEN($J$13)&gt;0),(($J$16+$J$19)/($J$13))*100,HLOOKUP(INDIRECT(ADDRESS(2,COLUMN())),OFFSET($AH$2,0,0,ROW()-1,28),ROW()-1,FALSE))</f>
        <v>31.031894149999999</v>
      </c>
      <c r="K3">
        <f ca="1">IF(AND($B$74=1,LEN($K$16) * LEN($K$19) * LEN($K$13)&gt;0),(($K$16+$K$19)/($K$13))*100,HLOOKUP(INDIRECT(ADDRESS(2,COLUMN())),OFFSET($AH$2,0,0,ROW()-1,28),ROW()-1,FALSE))</f>
        <v>29.82703351</v>
      </c>
      <c r="L3">
        <f ca="1">IF(AND($B$74=1,LEN($L$16) * LEN($L$19) * LEN($L$13)&gt;0),(($L$16+$L$19)/($L$13))*100,HLOOKUP(INDIRECT(ADDRESS(2,COLUMN())),OFFSET($AH$2,0,0,ROW()-1,28),ROW()-1,FALSE))</f>
        <v>29.068670529999999</v>
      </c>
      <c r="M3">
        <f ca="1">IF(AND($B$74=1,LEN($M$16) * LEN($M$19) * LEN($M$13)&gt;0),(($M$16+$M$19)/($M$13))*100,HLOOKUP(INDIRECT(ADDRESS(2,COLUMN())),OFFSET($AH$2,0,0,ROW()-1,28),ROW()-1,FALSE))</f>
        <v>27.625431899999999</v>
      </c>
      <c r="N3">
        <f ca="1">IF(AND($B$74=1,LEN($N$16) * LEN($N$19) * LEN($N$13)&gt;0),(($N$16+$N$19)/($N$13))*100,HLOOKUP(INDIRECT(ADDRESS(2,COLUMN())),OFFSET($AH$2,0,0,ROW()-1,28),ROW()-1,FALSE))</f>
        <v>26.221668130000001</v>
      </c>
      <c r="O3">
        <f ca="1">IF(AND($B$74=1,LEN($O$16) * LEN($O$19) * LEN($O$13)&gt;0),(($O$16+$O$19)/($O$13))*100,HLOOKUP(INDIRECT(ADDRESS(2,COLUMN())),OFFSET($AH$2,0,0,ROW()-1,28),ROW()-1,FALSE))</f>
        <v>25.120084089999999</v>
      </c>
      <c r="P3">
        <f ca="1">IF(AND($B$74=1,LEN($P$16) * LEN($P$19) * LEN($P$13)&gt;0),(($P$16+$P$19)/($P$13))*100,HLOOKUP(INDIRECT(ADDRESS(2,COLUMN())),OFFSET($AH$2,0,0,ROW()-1,28),ROW()-1,FALSE))</f>
        <v>23.858693559999999</v>
      </c>
      <c r="Q3">
        <f ca="1">IF(AND($B$74=1,LEN($Q$16) * LEN($Q$19) * LEN($Q$13)&gt;0),(($Q$16+$Q$19)/($Q$13))*100,HLOOKUP(INDIRECT(ADDRESS(2,COLUMN())),OFFSET($AH$2,0,0,ROW()-1,28),ROW()-1,FALSE))</f>
        <v>22.528549089999999</v>
      </c>
      <c r="R3">
        <f ca="1">IF(AND($B$74=1,LEN($R$16) * LEN($R$19) * LEN($R$13)&gt;0),(($R$16+$R$19)/($R$13))*100,HLOOKUP(INDIRECT(ADDRESS(2,COLUMN())),OFFSET($AH$2,0,0,ROW()-1,28),ROW()-1,FALSE))</f>
        <v>22.093074130000002</v>
      </c>
      <c r="S3">
        <f ca="1">IF(AND($B$74=1,LEN($S$16) * LEN($S$19) * LEN($S$13)&gt;0),(($S$16+$S$19)/($S$13))*100,HLOOKUP(INDIRECT(ADDRESS(2,COLUMN())),OFFSET($AH$2,0,0,ROW()-1,28),ROW()-1,FALSE))</f>
        <v>21.635464649999999</v>
      </c>
      <c r="T3">
        <f ca="1">IF(AND($B$74=1,LEN($T$16) * LEN($T$19) * LEN($T$13)&gt;0),(($T$16+$T$19)/($T$13))*100,HLOOKUP(INDIRECT(ADDRESS(2,COLUMN())),OFFSET($AH$2,0,0,ROW()-1,28),ROW()-1,FALSE))</f>
        <v>21.1490054</v>
      </c>
      <c r="U3">
        <f ca="1">IF(AND($B$74=1,LEN($U$16) * LEN($U$19) * LEN($U$13)&gt;0),(($U$16+$U$19)/($U$13))*100,HLOOKUP(INDIRECT(ADDRESS(2,COLUMN())),OFFSET($AH$2,0,0,ROW()-1,28),ROW()-1,FALSE))</f>
        <v>20.237704829999998</v>
      </c>
      <c r="V3">
        <f ca="1">IF(AND($B$74=1,LEN($V$16) * LEN($V$19) * LEN($V$13)&gt;0),(($V$16+$V$19)/($V$13))*100,HLOOKUP(INDIRECT(ADDRESS(2,COLUMN())),OFFSET($AH$2,0,0,ROW()-1,28),ROW()-1,FALSE))</f>
        <v>20.09651963</v>
      </c>
      <c r="W3">
        <f ca="1">IF(AND($B$74=1,LEN($W$16) * LEN($W$19) * LEN($W$13)&gt;0),(($W$16+$W$19)/($W$13))*100,HLOOKUP(INDIRECT(ADDRESS(2,COLUMN())),OFFSET($AH$2,0,0,ROW()-1,28),ROW()-1,FALSE))</f>
        <v>18.871803509999999</v>
      </c>
      <c r="X3">
        <f ca="1">IF(AND($B$74=1,LEN($X$16) * LEN($X$19) * LEN($X$13)&gt;0),(($X$16+$X$19)/($X$13))*100,HLOOKUP(INDIRECT(ADDRESS(2,COLUMN())),OFFSET($AH$2,0,0,ROW()-1,28),ROW()-1,FALSE))</f>
        <v>18.051021630000001</v>
      </c>
      <c r="Y3">
        <f ca="1">IF(AND($B$74=1,LEN($Y$16) * LEN($Y$19) * LEN($Y$13)&gt;0),(($Y$16+$Y$19)/($Y$13))*100,HLOOKUP(INDIRECT(ADDRESS(2,COLUMN())),OFFSET($AH$2,0,0,ROW()-1,28),ROW()-1,FALSE))</f>
        <v>16.673301240000001</v>
      </c>
      <c r="Z3">
        <f ca="1">IF(AND($B$74=1,LEN($Z$16) * LEN($Z$19) * LEN($Z$13)&gt;0),(($Z$16+$Z$19)/($Z$13))*100,HLOOKUP(INDIRECT(ADDRESS(2,COLUMN())),OFFSET($AH$2,0,0,ROW()-1,28),ROW()-1,FALSE))</f>
        <v>16.102874809999999</v>
      </c>
      <c r="AA3">
        <f ca="1">IF(AND($B$74=1,LEN($AA$16) * LEN($AA$19) * LEN($AA$13)&gt;0),(($AA$16+$AA$19)/($AA$13))*100,HLOOKUP(INDIRECT(ADDRESS(2,COLUMN())),OFFSET($AH$2,0,0,ROW()-1,28),ROW()-1,FALSE))</f>
        <v>15.78542449</v>
      </c>
      <c r="AB3">
        <f ca="1">IF(AND($B$74=1,LEN($AB$16) * LEN($AB$19) * LEN($AB$13)&gt;0),(($AB$16+$AB$19)/($AB$13))*100,HLOOKUP(INDIRECT(ADDRESS(2,COLUMN())),OFFSET($AH$2,0,0,ROW()-1,28),ROW()-1,FALSE))</f>
        <v>15.224923329999999</v>
      </c>
      <c r="AC3">
        <f ca="1">IF(AND($B$74=1,LEN($AC$16) * LEN($AC$19) * LEN($AC$13)&gt;0),(($AC$16+$AC$19)/($AC$13))*100,HLOOKUP(INDIRECT(ADDRESS(2,COLUMN())),OFFSET($AH$2,0,0,ROW()-1,28),ROW()-1,FALSE))</f>
        <v>14.37074698</v>
      </c>
      <c r="AD3">
        <f ca="1">IF(AND($B$74=1,LEN($AD$16) * LEN($AD$19) * LEN($AD$13)&gt;0),(($AD$16+$AD$19)/($AD$13))*100,HLOOKUP(INDIRECT(ADDRESS(2,COLUMN())),OFFSET($AH$2,0,0,ROW()-1,28),ROW()-1,FALSE))</f>
        <v>14.260533110000001</v>
      </c>
      <c r="AE3">
        <f ca="1">IF(AND($B$74=1,LEN($AE$16) * LEN($AE$19) * LEN($AE$13)&gt;0),(($AE$16+$AE$19)/($AE$13))*100,HLOOKUP(INDIRECT(ADDRESS(2,COLUMN())),OFFSET($AH$2,0,0,ROW()-1,28),ROW()-1,FALSE))</f>
        <v>13.716416949999999</v>
      </c>
      <c r="AF3">
        <f ca="1">IF(AND($B$74=1,LEN($AF$16) * LEN($AF$19) * LEN($AF$13)&gt;0),(($AF$16+$AF$19)/($AF$13))*100,HLOOKUP(INDIRECT(ADDRESS(2,COLUMN())),OFFSET($AH$2,0,0,ROW()-1,28),ROW()-1,FALSE))</f>
        <v>13.60966064</v>
      </c>
      <c r="AG3">
        <f ca="1">IF(AND($B$74=1,LEN($AG$16) * LEN($AG$19) * LEN($AG$13)&gt;0),(($AG$16+$AG$19)/($AG$13))*100,HLOOKUP(INDIRECT(ADDRESS(2,COLUMN())),OFFSET($AH$2,0,0,ROW()-1,28),ROW()-1,FALSE))</f>
        <v>13.217836289999999</v>
      </c>
      <c r="AH3">
        <f>37.0784416</f>
        <v>37.078441599999998</v>
      </c>
      <c r="AI3">
        <f>35.35806751</f>
        <v>35.358067509999998</v>
      </c>
      <c r="AJ3">
        <f>34.10567484</f>
        <v>34.105674839999999</v>
      </c>
      <c r="AK3">
        <f>32.20854343</f>
        <v>32.208543429999999</v>
      </c>
      <c r="AL3">
        <f>31.03189415</f>
        <v>31.031894149999999</v>
      </c>
      <c r="AM3">
        <f>29.82703351</f>
        <v>29.82703351</v>
      </c>
      <c r="AN3">
        <f>29.06867053</f>
        <v>29.068670529999999</v>
      </c>
      <c r="AO3">
        <f>27.6254319</f>
        <v>27.625431899999999</v>
      </c>
      <c r="AP3">
        <f>26.22166813</f>
        <v>26.221668130000001</v>
      </c>
      <c r="AQ3">
        <f>25.12008409</f>
        <v>25.120084089999999</v>
      </c>
      <c r="AR3">
        <f>23.85869356</f>
        <v>23.858693559999999</v>
      </c>
      <c r="AS3">
        <f>22.52854909</f>
        <v>22.528549089999999</v>
      </c>
      <c r="AT3">
        <f>22.09307413</f>
        <v>22.093074130000002</v>
      </c>
      <c r="AU3">
        <f>21.63546465</f>
        <v>21.635464649999999</v>
      </c>
      <c r="AV3">
        <f>21.1490054</f>
        <v>21.1490054</v>
      </c>
      <c r="AW3">
        <f>20.23770483</f>
        <v>20.237704829999998</v>
      </c>
      <c r="AX3">
        <f>20.09651963</f>
        <v>20.09651963</v>
      </c>
      <c r="AY3">
        <f>18.87180351</f>
        <v>18.871803509999999</v>
      </c>
      <c r="AZ3">
        <f>18.05102163</f>
        <v>18.051021630000001</v>
      </c>
      <c r="BA3">
        <f>16.67330124</f>
        <v>16.673301240000001</v>
      </c>
      <c r="BB3">
        <f>16.10287481</f>
        <v>16.102874809999999</v>
      </c>
      <c r="BC3">
        <f>15.78542449</f>
        <v>15.78542449</v>
      </c>
      <c r="BD3">
        <f>15.22492333</f>
        <v>15.224923329999999</v>
      </c>
      <c r="BE3">
        <f>14.37074698</f>
        <v>14.37074698</v>
      </c>
      <c r="BF3">
        <f>14.26053311</f>
        <v>14.260533110000001</v>
      </c>
      <c r="BG3">
        <f>13.71641695</f>
        <v>13.716416949999999</v>
      </c>
      <c r="BH3">
        <f>13.60966064</f>
        <v>13.60966064</v>
      </c>
      <c r="BI3">
        <f>13.21783629</f>
        <v>13.217836289999999</v>
      </c>
    </row>
    <row r="4" spans="1:61" x14ac:dyDescent="0.25">
      <c r="A4" t="str">
        <f>"ETFs as % Of Equity Fund Assets (MF &amp; ETF)"</f>
        <v>ETFs as % Of Equity Fund Assets (MF &amp; ETF)</v>
      </c>
      <c r="B4" t="str">
        <f>""</f>
        <v/>
      </c>
      <c r="E4" t="str">
        <f>"Expression"</f>
        <v>Expression</v>
      </c>
      <c r="F4">
        <f ca="1">IF(AND($B$74=1,LEN($F$33) * LEN($F$30) * LEN($F$27)&gt;0),(($F$33+$F$30)/($F$27))*100,HLOOKUP(INDIRECT(ADDRESS(2,COLUMN())),OFFSET($AH$2,0,0,ROW()-1,28),ROW()-1,FALSE))</f>
        <v>40.405625329999999</v>
      </c>
      <c r="G4">
        <f ca="1">IF(AND($B$74=1,LEN($G$33) * LEN($G$30) * LEN($G$27)&gt;0),(($G$33+$G$30)/($G$27))*100,HLOOKUP(INDIRECT(ADDRESS(2,COLUMN())),OFFSET($AH$2,0,0,ROW()-1,28),ROW()-1,FALSE))</f>
        <v>38.517793050000002</v>
      </c>
      <c r="H4">
        <f ca="1">IF(AND($B$74=1,LEN($H$33) * LEN($H$30) * LEN($H$27)&gt;0),(($H$33+$H$30)/($H$27))*100,HLOOKUP(INDIRECT(ADDRESS(2,COLUMN())),OFFSET($AH$2,0,0,ROW()-1,28),ROW()-1,FALSE))</f>
        <v>37.546943560000003</v>
      </c>
      <c r="I4">
        <f ca="1">IF(AND($B$74=1,LEN($I$33) * LEN($I$30) * LEN($I$27)&gt;0),(($I$33+$I$30)/($I$27))*100,HLOOKUP(INDIRECT(ADDRESS(2,COLUMN())),OFFSET($AH$2,0,0,ROW()-1,28),ROW()-1,FALSE))</f>
        <v>35.565674880000003</v>
      </c>
      <c r="J4">
        <f ca="1">IF(AND($B$74=1,LEN($J$33) * LEN($J$30) * LEN($J$27)&gt;0),(($J$33+$J$30)/($J$27))*100,HLOOKUP(INDIRECT(ADDRESS(2,COLUMN())),OFFSET($AH$2,0,0,ROW()-1,28),ROW()-1,FALSE))</f>
        <v>34.533581660000003</v>
      </c>
      <c r="K4">
        <f ca="1">IF(AND($B$74=1,LEN($K$33) * LEN($K$30) * LEN($K$27)&gt;0),(($K$33+$K$30)/($K$27))*100,HLOOKUP(INDIRECT(ADDRESS(2,COLUMN())),OFFSET($AH$2,0,0,ROW()-1,28),ROW()-1,FALSE))</f>
        <v>33.307886539999998</v>
      </c>
      <c r="L4">
        <f ca="1">IF(AND($B$74=1,LEN($L$33) * LEN($L$30) * LEN($L$27)&gt;0),(($L$33+$L$30)/($L$27))*100,HLOOKUP(INDIRECT(ADDRESS(2,COLUMN())),OFFSET($AH$2,0,0,ROW()-1,28),ROW()-1,FALSE))</f>
        <v>32.998991660000002</v>
      </c>
      <c r="M4">
        <f ca="1">IF(AND($B$74=1,LEN($M$33) * LEN($M$30) * LEN($M$27)&gt;0),(($M$33+$M$30)/($M$27))*100,HLOOKUP(INDIRECT(ADDRESS(2,COLUMN())),OFFSET($AH$2,0,0,ROW()-1,28),ROW()-1,FALSE))</f>
        <v>31.845603279999999</v>
      </c>
      <c r="N4">
        <f ca="1">IF(AND($B$74=1,LEN($N$33) * LEN($N$30) * LEN($N$27)&gt;0),(($N$33+$N$30)/($N$27))*100,HLOOKUP(INDIRECT(ADDRESS(2,COLUMN())),OFFSET($AH$2,0,0,ROW()-1,28),ROW()-1,FALSE))</f>
        <v>30.197149329999998</v>
      </c>
      <c r="O4">
        <f ca="1">IF(AND($B$74=1,LEN($O$33) * LEN($O$30) * LEN($O$27)&gt;0),(($O$33+$O$30)/($O$27))*100,HLOOKUP(INDIRECT(ADDRESS(2,COLUMN())),OFFSET($AH$2,0,0,ROW()-1,28),ROW()-1,FALSE))</f>
        <v>28.927923539999998</v>
      </c>
      <c r="P4">
        <f ca="1">IF(AND($B$74=1,LEN($P$33) * LEN($P$30) * LEN($P$27)&gt;0),(($P$33+$P$30)/($P$27))*100,HLOOKUP(INDIRECT(ADDRESS(2,COLUMN())),OFFSET($AH$2,0,0,ROW()-1,28),ROW()-1,FALSE))</f>
        <v>27.33558717</v>
      </c>
      <c r="Q4">
        <f ca="1">IF(AND($B$74=1,LEN($Q$33) * LEN($Q$30) * LEN($Q$27)&gt;0),(($Q$33+$Q$30)/($Q$27))*100,HLOOKUP(INDIRECT(ADDRESS(2,COLUMN())),OFFSET($AH$2,0,0,ROW()-1,28),ROW()-1,FALSE))</f>
        <v>25.835629059999999</v>
      </c>
      <c r="R4">
        <f ca="1">IF(AND($B$74=1,LEN($R$33) * LEN($R$30) * LEN($R$27)&gt;0),(($R$33+$R$30)/($R$27))*100,HLOOKUP(INDIRECT(ADDRESS(2,COLUMN())),OFFSET($AH$2,0,0,ROW()-1,28),ROW()-1,FALSE))</f>
        <v>25.914773530000002</v>
      </c>
      <c r="S4">
        <f ca="1">IF(AND($B$74=1,LEN($S$33) * LEN($S$30) * LEN($S$27)&gt;0),(($S$33+$S$30)/($S$27))*100,HLOOKUP(INDIRECT(ADDRESS(2,COLUMN())),OFFSET($AH$2,0,0,ROW()-1,28),ROW()-1,FALSE))</f>
        <v>25.510192589999999</v>
      </c>
      <c r="T4">
        <f ca="1">IF(AND($B$74=1,LEN($T$33) * LEN($T$30) * LEN($T$27)&gt;0),(($T$33+$T$30)/($T$27))*100,HLOOKUP(INDIRECT(ADDRESS(2,COLUMN())),OFFSET($AH$2,0,0,ROW()-1,28),ROW()-1,FALSE))</f>
        <v>25.357024379999999</v>
      </c>
      <c r="U4">
        <f ca="1">IF(AND($B$74=1,LEN($U$33) * LEN($U$30) * LEN($U$27)&gt;0),(($U$33+$U$30)/($U$27))*100,HLOOKUP(INDIRECT(ADDRESS(2,COLUMN())),OFFSET($AH$2,0,0,ROW()-1,28),ROW()-1,FALSE))</f>
        <v>24.11340045</v>
      </c>
      <c r="V4">
        <f ca="1">IF(AND($B$74=1,LEN($V$33) * LEN($V$30) * LEN($V$27)&gt;0),(($V$33+$V$30)/($V$27))*100,HLOOKUP(INDIRECT(ADDRESS(2,COLUMN())),OFFSET($AH$2,0,0,ROW()-1,28),ROW()-1,FALSE))</f>
        <v>24.075207030000001</v>
      </c>
      <c r="W4">
        <f ca="1">IF(AND($B$74=1,LEN($W$33) * LEN($W$30) * LEN($W$27)&gt;0),(($W$33+$W$30)/($W$27))*100,HLOOKUP(INDIRECT(ADDRESS(2,COLUMN())),OFFSET($AH$2,0,0,ROW()-1,28),ROW()-1,FALSE))</f>
        <v>22.733653230000002</v>
      </c>
      <c r="X4">
        <f ca="1">IF(AND($B$74=1,LEN($X$33) * LEN($X$30) * LEN($X$27)&gt;0),(($X$33+$X$30)/($X$27))*100,HLOOKUP(INDIRECT(ADDRESS(2,COLUMN())),OFFSET($AH$2,0,0,ROW()-1,28),ROW()-1,FALSE))</f>
        <v>22.073154160000001</v>
      </c>
      <c r="Y4">
        <f ca="1">IF(AND($B$74=1,LEN($Y$33) * LEN($Y$30) * LEN($Y$27)&gt;0),(($Y$33+$Y$30)/($Y$27))*100,HLOOKUP(INDIRECT(ADDRESS(2,COLUMN())),OFFSET($AH$2,0,0,ROW()-1,28),ROW()-1,FALSE))</f>
        <v>20.249502119999999</v>
      </c>
      <c r="Z4">
        <f ca="1">IF(AND($B$74=1,LEN($Z$33) * LEN($Z$30) * LEN($Z$27)&gt;0),(($Z$33+$Z$30)/($Z$27))*100,HLOOKUP(INDIRECT(ADDRESS(2,COLUMN())),OFFSET($AH$2,0,0,ROW()-1,28),ROW()-1,FALSE))</f>
        <v>19.886805200000001</v>
      </c>
      <c r="AA4">
        <f ca="1">IF(AND($B$74=1,LEN($AA$33) * LEN($AA$30) * LEN($AA$27)&gt;0),(($AA$33+$AA$30)/($AA$27))*100,HLOOKUP(INDIRECT(ADDRESS(2,COLUMN())),OFFSET($AH$2,0,0,ROW()-1,28),ROW()-1,FALSE))</f>
        <v>19.55015264</v>
      </c>
      <c r="AB4">
        <f ca="1">IF(AND($B$74=1,LEN($AB$33) * LEN($AB$30) * LEN($AB$27)&gt;0),(($AB$33+$AB$30)/($AB$27))*100,HLOOKUP(INDIRECT(ADDRESS(2,COLUMN())),OFFSET($AH$2,0,0,ROW()-1,28),ROW()-1,FALSE))</f>
        <v>18.957733999999999</v>
      </c>
      <c r="AC4">
        <f ca="1">IF(AND($B$74=1,LEN($AC$33) * LEN($AC$30) * LEN($AC$27)&gt;0),(($AC$33+$AC$30)/($AC$27))*100,HLOOKUP(INDIRECT(ADDRESS(2,COLUMN())),OFFSET($AH$2,0,0,ROW()-1,28),ROW()-1,FALSE))</f>
        <v>17.945907129999998</v>
      </c>
      <c r="AD4">
        <f ca="1">IF(AND($B$74=1,LEN($AD$33) * LEN($AD$30) * LEN($AD$27)&gt;0),(($AD$33+$AD$30)/($AD$27))*100,HLOOKUP(INDIRECT(ADDRESS(2,COLUMN())),OFFSET($AH$2,0,0,ROW()-1,28),ROW()-1,FALSE))</f>
        <v>17.835893110000001</v>
      </c>
      <c r="AE4">
        <f ca="1">IF(AND($B$74=1,LEN($AE$33) * LEN($AE$30) * LEN($AE$27)&gt;0),(($AE$33+$AE$30)/($AE$27))*100,HLOOKUP(INDIRECT(ADDRESS(2,COLUMN())),OFFSET($AH$2,0,0,ROW()-1,28),ROW()-1,FALSE))</f>
        <v>17.331618599999999</v>
      </c>
      <c r="AF4">
        <f ca="1">IF(AND($B$74=1,LEN($AF$33) * LEN($AF$30) * LEN($AF$27)&gt;0),(($AF$33+$AF$30)/($AF$27))*100,HLOOKUP(INDIRECT(ADDRESS(2,COLUMN())),OFFSET($AH$2,0,0,ROW()-1,28),ROW()-1,FALSE))</f>
        <v>16.974728580000001</v>
      </c>
      <c r="AG4">
        <f ca="1">IF(AND($B$74=1,LEN($AG$33) * LEN($AG$30) * LEN($AG$27)&gt;0),(($AG$33+$AG$30)/($AG$27))*100,HLOOKUP(INDIRECT(ADDRESS(2,COLUMN())),OFFSET($AH$2,0,0,ROW()-1,28),ROW()-1,FALSE))</f>
        <v>16.25883189</v>
      </c>
      <c r="AH4">
        <f>40.40562533</f>
        <v>40.405625329999999</v>
      </c>
      <c r="AI4">
        <f>38.51779305</f>
        <v>38.517793050000002</v>
      </c>
      <c r="AJ4">
        <f>37.54694356</f>
        <v>37.546943560000003</v>
      </c>
      <c r="AK4">
        <f>35.56567488</f>
        <v>35.565674880000003</v>
      </c>
      <c r="AL4">
        <f>34.53358166</f>
        <v>34.533581660000003</v>
      </c>
      <c r="AM4">
        <f>33.30788654</f>
        <v>33.307886539999998</v>
      </c>
      <c r="AN4">
        <f>32.99899166</f>
        <v>32.998991660000002</v>
      </c>
      <c r="AO4">
        <f>31.84560328</f>
        <v>31.845603279999999</v>
      </c>
      <c r="AP4">
        <f>30.19714933</f>
        <v>30.197149329999998</v>
      </c>
      <c r="AQ4">
        <f>28.92792354</f>
        <v>28.927923539999998</v>
      </c>
      <c r="AR4">
        <f>27.33558717</f>
        <v>27.33558717</v>
      </c>
      <c r="AS4">
        <f>25.83562906</f>
        <v>25.835629059999999</v>
      </c>
      <c r="AT4">
        <f>25.91477353</f>
        <v>25.914773530000002</v>
      </c>
      <c r="AU4">
        <f>25.51019259</f>
        <v>25.510192589999999</v>
      </c>
      <c r="AV4">
        <f>25.35702438</f>
        <v>25.357024379999999</v>
      </c>
      <c r="AW4">
        <f>24.11340045</f>
        <v>24.11340045</v>
      </c>
      <c r="AX4">
        <f>24.07520703</f>
        <v>24.075207030000001</v>
      </c>
      <c r="AY4">
        <f>22.73365323</f>
        <v>22.733653230000002</v>
      </c>
      <c r="AZ4">
        <f>22.07315416</f>
        <v>22.073154160000001</v>
      </c>
      <c r="BA4">
        <f>20.24950212</f>
        <v>20.249502119999999</v>
      </c>
      <c r="BB4">
        <f>19.8868052</f>
        <v>19.886805200000001</v>
      </c>
      <c r="BC4">
        <f>19.55015264</f>
        <v>19.55015264</v>
      </c>
      <c r="BD4">
        <f>18.957734</f>
        <v>18.957733999999999</v>
      </c>
      <c r="BE4">
        <f>17.94590713</f>
        <v>17.945907129999998</v>
      </c>
      <c r="BF4">
        <f>17.83589311</f>
        <v>17.835893110000001</v>
      </c>
      <c r="BG4">
        <f>17.3316186</f>
        <v>17.331618599999999</v>
      </c>
      <c r="BH4">
        <f>16.97472858</f>
        <v>16.974728580000001</v>
      </c>
      <c r="BI4">
        <f>16.25883189</f>
        <v>16.25883189</v>
      </c>
    </row>
    <row r="5" spans="1:61" x14ac:dyDescent="0.25">
      <c r="A5" t="str">
        <f>"ETFs as % Of Bond Fund Assets (MF &amp; ETF)"</f>
        <v>ETFs as % Of Bond Fund Assets (MF &amp; ETF)</v>
      </c>
      <c r="B5" t="str">
        <f>""</f>
        <v/>
      </c>
      <c r="E5" t="str">
        <f>"Expression"</f>
        <v>Expression</v>
      </c>
      <c r="F5">
        <f ca="1">IF(AND($B$74=1,LEN($F$23) * LEN($F$26) * LEN($F$20)&gt;0),(($F$23+$F$26)/($F$20))*100,HLOOKUP(INDIRECT(ADDRESS(2,COLUMN())),OFFSET($AH$2,0,0,ROW()-1,28),ROW()-1,FALSE))</f>
        <v>29.701349879999999</v>
      </c>
      <c r="G5">
        <f ca="1">IF(AND($B$74=1,LEN($G$23) * LEN($G$26) * LEN($G$20)&gt;0),(($G$23+$G$26)/($G$20))*100,HLOOKUP(INDIRECT(ADDRESS(2,COLUMN())),OFFSET($AH$2,0,0,ROW()-1,28),ROW()-1,FALSE))</f>
        <v>28.762253869999999</v>
      </c>
      <c r="H5">
        <f ca="1">IF(AND($B$74=1,LEN($H$23) * LEN($H$26) * LEN($H$20)&gt;0),(($H$23+$H$26)/($H$20))*100,HLOOKUP(INDIRECT(ADDRESS(2,COLUMN())),OFFSET($AH$2,0,0,ROW()-1,28),ROW()-1,FALSE))</f>
        <v>27.248810160000001</v>
      </c>
      <c r="I5">
        <f ca="1">IF(AND($B$74=1,LEN($I$23) * LEN($I$26) * LEN($I$20)&gt;0),(($I$23+$I$26)/($I$20))*100,HLOOKUP(INDIRECT(ADDRESS(2,COLUMN())),OFFSET($AH$2,0,0,ROW()-1,28),ROW()-1,FALSE))</f>
        <v>26.128748080000001</v>
      </c>
      <c r="J5">
        <f ca="1">IF(AND($B$74=1,LEN($J$23) * LEN($J$26) * LEN($J$20)&gt;0),(($J$23+$J$26)/($J$20))*100,HLOOKUP(INDIRECT(ADDRESS(2,COLUMN())),OFFSET($AH$2,0,0,ROW()-1,28),ROW()-1,FALSE))</f>
        <v>25.46951911</v>
      </c>
      <c r="K5">
        <f ca="1">IF(AND($B$74=1,LEN($K$23) * LEN($K$26) * LEN($K$20)&gt;0),(($K$23+$K$26)/($K$20))*100,HLOOKUP(INDIRECT(ADDRESS(2,COLUMN())),OFFSET($AH$2,0,0,ROW()-1,28),ROW()-1,FALSE))</f>
        <v>24.507879460000002</v>
      </c>
      <c r="L5">
        <f ca="1">IF(AND($B$74=1,LEN($L$23) * LEN($L$26) * LEN($L$20)&gt;0),(($L$23+$L$26)/($L$20))*100,HLOOKUP(INDIRECT(ADDRESS(2,COLUMN())),OFFSET($AH$2,0,0,ROW()-1,28),ROW()-1,FALSE))</f>
        <v>23.27532647</v>
      </c>
      <c r="M5">
        <f ca="1">IF(AND($B$74=1,LEN($M$23) * LEN($M$26) * LEN($M$20)&gt;0),(($M$23+$M$26)/($M$20))*100,HLOOKUP(INDIRECT(ADDRESS(2,COLUMN())),OFFSET($AH$2,0,0,ROW()-1,28),ROW()-1,FALSE))</f>
        <v>20.985800019999999</v>
      </c>
      <c r="N5">
        <f ca="1">IF(AND($B$74=1,LEN($N$23) * LEN($N$26) * LEN($N$20)&gt;0),(($N$23+$N$26)/($N$20))*100,HLOOKUP(INDIRECT(ADDRESS(2,COLUMN())),OFFSET($AH$2,0,0,ROW()-1,28),ROW()-1,FALSE))</f>
        <v>19.089848830000001</v>
      </c>
      <c r="O5">
        <f ca="1">IF(AND($B$74=1,LEN($O$23) * LEN($O$26) * LEN($O$20)&gt;0),(($O$23+$O$26)/($O$20))*100,HLOOKUP(INDIRECT(ADDRESS(2,COLUMN())),OFFSET($AH$2,0,0,ROW()-1,28),ROW()-1,FALSE))</f>
        <v>18.516782240000001</v>
      </c>
      <c r="P5">
        <f ca="1">IF(AND($B$74=1,LEN($P$23) * LEN($P$26) * LEN($P$20)&gt;0),(($P$23+$P$26)/($P$20))*100,HLOOKUP(INDIRECT(ADDRESS(2,COLUMN())),OFFSET($AH$2,0,0,ROW()-1,28),ROW()-1,FALSE))</f>
        <v>18.192208579999999</v>
      </c>
      <c r="Q5">
        <f ca="1">IF(AND($B$74=1,LEN($Q$23) * LEN($Q$26) * LEN($Q$20)&gt;0),(($Q$23+$Q$26)/($Q$20))*100,HLOOKUP(INDIRECT(ADDRESS(2,COLUMN())),OFFSET($AH$2,0,0,ROW()-1,28),ROW()-1,FALSE))</f>
        <v>17.96908019</v>
      </c>
      <c r="R5">
        <f ca="1">IF(AND($B$74=1,LEN($R$23) * LEN($R$26) * LEN($R$20)&gt;0),(($R$23+$R$26)/($R$20))*100,HLOOKUP(INDIRECT(ADDRESS(2,COLUMN())),OFFSET($AH$2,0,0,ROW()-1,28),ROW()-1,FALSE))</f>
        <v>16.415011119999999</v>
      </c>
      <c r="S5">
        <f ca="1">IF(AND($B$74=1,LEN($S$23) * LEN($S$26) * LEN($S$20)&gt;0),(($S$23+$S$26)/($S$20))*100,HLOOKUP(INDIRECT(ADDRESS(2,COLUMN())),OFFSET($AH$2,0,0,ROW()-1,28),ROW()-1,FALSE))</f>
        <v>16.049755130000001</v>
      </c>
      <c r="T5">
        <f ca="1">IF(AND($B$74=1,LEN($T$23) * LEN($T$26) * LEN($T$20)&gt;0),(($T$23+$T$26)/($T$20))*100,HLOOKUP(INDIRECT(ADDRESS(2,COLUMN())),OFFSET($AH$2,0,0,ROW()-1,28),ROW()-1,FALSE))</f>
        <v>15.25909257</v>
      </c>
      <c r="U5">
        <f ca="1">IF(AND($B$74=1,LEN($U$23) * LEN($U$26) * LEN($U$20)&gt;0),(($U$23+$U$26)/($U$20))*100,HLOOKUP(INDIRECT(ADDRESS(2,COLUMN())),OFFSET($AH$2,0,0,ROW()-1,28),ROW()-1,FALSE))</f>
        <v>14.188844789999999</v>
      </c>
      <c r="V5">
        <f ca="1">IF(AND($B$74=1,LEN($V$23) * LEN($V$26) * LEN($V$20)&gt;0),(($V$23+$V$26)/($V$20))*100,HLOOKUP(INDIRECT(ADDRESS(2,COLUMN())),OFFSET($AH$2,0,0,ROW()-1,28),ROW()-1,FALSE))</f>
        <v>13.82442784</v>
      </c>
      <c r="W5">
        <f ca="1">IF(AND($B$74=1,LEN($W$23) * LEN($W$26) * LEN($W$20)&gt;0),(($W$23+$W$26)/($W$20))*100,HLOOKUP(INDIRECT(ADDRESS(2,COLUMN())),OFFSET($AH$2,0,0,ROW()-1,28),ROW()-1,FALSE))</f>
        <v>13.180263180000001</v>
      </c>
      <c r="X5">
        <f ca="1">IF(AND($B$74=1,LEN($X$23) * LEN($X$26) * LEN($X$20)&gt;0),(($X$23+$X$26)/($X$20))*100,HLOOKUP(INDIRECT(ADDRESS(2,COLUMN())),OFFSET($AH$2,0,0,ROW()-1,28),ROW()-1,FALSE))</f>
        <v>12.21694181</v>
      </c>
      <c r="Y5">
        <f ca="1">IF(AND($B$74=1,LEN($Y$23) * LEN($Y$26) * LEN($Y$20)&gt;0),(($Y$23+$Y$26)/($Y$20))*100,HLOOKUP(INDIRECT(ADDRESS(2,COLUMN())),OFFSET($AH$2,0,0,ROW()-1,28),ROW()-1,FALSE))</f>
        <v>11.583220020000001</v>
      </c>
      <c r="Z5">
        <f ca="1">IF(AND($B$74=1,LEN($Z$23) * LEN($Z$26) * LEN($Z$20)&gt;0),(($Z$23+$Z$26)/($Z$20))*100,HLOOKUP(INDIRECT(ADDRESS(2,COLUMN())),OFFSET($AH$2,0,0,ROW()-1,28),ROW()-1,FALSE))</f>
        <v>10.62274807</v>
      </c>
      <c r="AA5">
        <f ca="1">IF(AND($B$74=1,LEN($AA$23) * LEN($AA$26) * LEN($AA$20)&gt;0),(($AA$23+$AA$26)/($AA$20))*100,HLOOKUP(INDIRECT(ADDRESS(2,COLUMN())),OFFSET($AH$2,0,0,ROW()-1,28),ROW()-1,FALSE))</f>
        <v>9.6919104800000007</v>
      </c>
      <c r="AB5">
        <f ca="1">IF(AND($B$74=1,LEN($AB$23) * LEN($AB$26) * LEN($AB$20)&gt;0),(($AB$23+$AB$26)/($AB$20))*100,HLOOKUP(INDIRECT(ADDRESS(2,COLUMN())),OFFSET($AH$2,0,0,ROW()-1,28),ROW()-1,FALSE))</f>
        <v>9.2535089300000006</v>
      </c>
      <c r="AC5">
        <f ca="1">IF(AND($B$74=1,LEN($AC$23) * LEN($AC$26) * LEN($AC$20)&gt;0),(($AC$23+$AC$26)/($AC$20))*100,HLOOKUP(INDIRECT(ADDRESS(2,COLUMN())),OFFSET($AH$2,0,0,ROW()-1,28),ROW()-1,FALSE))</f>
        <v>8.4660436019999992</v>
      </c>
      <c r="AD5">
        <f ca="1">IF(AND($B$74=1,LEN($AD$23) * LEN($AD$26) * LEN($AD$20)&gt;0),(($AD$23+$AD$26)/($AD$20))*100,HLOOKUP(INDIRECT(ADDRESS(2,COLUMN())),OFFSET($AH$2,0,0,ROW()-1,28),ROW()-1,FALSE))</f>
        <v>8.2122218900000004</v>
      </c>
      <c r="AE5">
        <f ca="1">IF(AND($B$74=1,LEN($AE$23) * LEN($AE$26) * LEN($AE$20)&gt;0),(($AE$23+$AE$26)/($AE$20))*100,HLOOKUP(INDIRECT(ADDRESS(2,COLUMN())),OFFSET($AH$2,0,0,ROW()-1,28),ROW()-1,FALSE))</f>
        <v>8.2138023530000002</v>
      </c>
      <c r="AF5">
        <f ca="1">IF(AND($B$74=1,LEN($AF$23) * LEN($AF$26) * LEN($AF$20)&gt;0),(($AF$23+$AF$26)/($AF$20))*100,HLOOKUP(INDIRECT(ADDRESS(2,COLUMN())),OFFSET($AH$2,0,0,ROW()-1,28),ROW()-1,FALSE))</f>
        <v>7.9230559889999999</v>
      </c>
      <c r="AG5">
        <f ca="1">IF(AND($B$74=1,LEN($AG$23) * LEN($AG$26) * LEN($AG$20)&gt;0),(($AG$23+$AG$26)/($AG$20))*100,HLOOKUP(INDIRECT(ADDRESS(2,COLUMN())),OFFSET($AH$2,0,0,ROW()-1,28),ROW()-1,FALSE))</f>
        <v>8.192582625</v>
      </c>
      <c r="AH5">
        <f>29.70134988</f>
        <v>29.701349879999999</v>
      </c>
      <c r="AI5">
        <f>28.76225387</f>
        <v>28.762253869999999</v>
      </c>
      <c r="AJ5">
        <f>27.24881016</f>
        <v>27.248810160000001</v>
      </c>
      <c r="AK5">
        <f>26.12874808</f>
        <v>26.128748080000001</v>
      </c>
      <c r="AL5">
        <f>25.46951911</f>
        <v>25.46951911</v>
      </c>
      <c r="AM5">
        <f>24.50787946</f>
        <v>24.507879460000002</v>
      </c>
      <c r="AN5">
        <f>23.27532647</f>
        <v>23.27532647</v>
      </c>
      <c r="AO5">
        <f>20.98580002</f>
        <v>20.985800019999999</v>
      </c>
      <c r="AP5">
        <f>19.08984883</f>
        <v>19.089848830000001</v>
      </c>
      <c r="AQ5">
        <f>18.51678224</f>
        <v>18.516782240000001</v>
      </c>
      <c r="AR5">
        <f>18.19220858</f>
        <v>18.192208579999999</v>
      </c>
      <c r="AS5">
        <f>17.96908019</f>
        <v>17.96908019</v>
      </c>
      <c r="AT5">
        <f>16.41501112</f>
        <v>16.415011119999999</v>
      </c>
      <c r="AU5">
        <f>16.04975513</f>
        <v>16.049755130000001</v>
      </c>
      <c r="AV5">
        <f>15.25909257</f>
        <v>15.25909257</v>
      </c>
      <c r="AW5">
        <f>14.18884479</f>
        <v>14.188844789999999</v>
      </c>
      <c r="AX5">
        <f>13.82442784</f>
        <v>13.82442784</v>
      </c>
      <c r="AY5">
        <f>13.18026318</f>
        <v>13.180263180000001</v>
      </c>
      <c r="AZ5">
        <f>12.21694181</f>
        <v>12.21694181</v>
      </c>
      <c r="BA5">
        <f>11.58322002</f>
        <v>11.583220020000001</v>
      </c>
      <c r="BB5">
        <f>10.62274807</f>
        <v>10.62274807</v>
      </c>
      <c r="BC5">
        <f>9.69191048</f>
        <v>9.6919104800000007</v>
      </c>
      <c r="BD5">
        <f>9.25350893</f>
        <v>9.2535089300000006</v>
      </c>
      <c r="BE5">
        <f>8.466043602</f>
        <v>8.4660436019999992</v>
      </c>
      <c r="BF5">
        <f>8.21222189</f>
        <v>8.2122218900000004</v>
      </c>
      <c r="BG5">
        <f>8.213802353</f>
        <v>8.2138023530000002</v>
      </c>
      <c r="BH5">
        <f>7.923055989</f>
        <v>7.9230559889999999</v>
      </c>
      <c r="BI5">
        <f>8.192582625</f>
        <v>8.192582625</v>
      </c>
    </row>
    <row r="6" spans="1:61" x14ac:dyDescent="0.25">
      <c r="A6" t="str">
        <f>"ETFs &amp; Mutual Funds Passive %"</f>
        <v>ETFs &amp; Mutual Funds Passive %</v>
      </c>
      <c r="B6" t="str">
        <f>""</f>
        <v/>
      </c>
      <c r="E6" t="str">
        <f>"Heading"</f>
        <v>Heading</v>
      </c>
      <c r="AH6" t="str">
        <f>""</f>
        <v/>
      </c>
      <c r="AI6" t="str">
        <f>""</f>
        <v/>
      </c>
      <c r="AJ6" t="str">
        <f>""</f>
        <v/>
      </c>
      <c r="AK6" t="str">
        <f>""</f>
        <v/>
      </c>
      <c r="AL6" t="str">
        <f>""</f>
        <v/>
      </c>
      <c r="AM6" t="str">
        <f>""</f>
        <v/>
      </c>
      <c r="AN6" t="str">
        <f>""</f>
        <v/>
      </c>
      <c r="AO6" t="str">
        <f>""</f>
        <v/>
      </c>
      <c r="AP6" t="str">
        <f>""</f>
        <v/>
      </c>
      <c r="AQ6" t="str">
        <f>""</f>
        <v/>
      </c>
      <c r="AR6" t="str">
        <f>""</f>
        <v/>
      </c>
      <c r="AS6" t="str">
        <f>""</f>
        <v/>
      </c>
      <c r="AT6" t="str">
        <f>""</f>
        <v/>
      </c>
      <c r="AU6" t="str">
        <f>""</f>
        <v/>
      </c>
      <c r="AV6" t="str">
        <f>""</f>
        <v/>
      </c>
      <c r="AW6" t="str">
        <f>""</f>
        <v/>
      </c>
      <c r="AX6" t="str">
        <f>""</f>
        <v/>
      </c>
      <c r="AY6" t="str">
        <f>""</f>
        <v/>
      </c>
      <c r="AZ6" t="str">
        <f>""</f>
        <v/>
      </c>
      <c r="BA6" t="str">
        <f>""</f>
        <v/>
      </c>
      <c r="BB6" t="str">
        <f>""</f>
        <v/>
      </c>
      <c r="BC6" t="str">
        <f>""</f>
        <v/>
      </c>
      <c r="BD6" t="str">
        <f>""</f>
        <v/>
      </c>
      <c r="BE6" t="str">
        <f>""</f>
        <v/>
      </c>
      <c r="BF6" t="str">
        <f>""</f>
        <v/>
      </c>
      <c r="BG6" t="str">
        <f>""</f>
        <v/>
      </c>
      <c r="BH6" t="str">
        <f>""</f>
        <v/>
      </c>
      <c r="BI6" t="str">
        <f>""</f>
        <v/>
      </c>
    </row>
    <row r="7" spans="1:61" x14ac:dyDescent="0.25">
      <c r="A7" t="str">
        <f>"    Passive % Of All ETFs &amp; Mutual Funds"</f>
        <v xml:space="preserve">    Passive % Of All ETFs &amp; Mutual Funds</v>
      </c>
      <c r="B7" t="str">
        <f>""</f>
        <v/>
      </c>
      <c r="E7" t="str">
        <f>"Expression"</f>
        <v>Expression</v>
      </c>
      <c r="F7">
        <f ca="1">IF(AND($B$74=1,LEN($F$14) * LEN($F$13)&gt;0),($F$14/$F$13)*100,HLOOKUP(INDIRECT(ADDRESS(2,COLUMN())),OFFSET($AH$2,0,0,ROW()-1,28),ROW()-1,FALSE))</f>
        <v>54.081123679999997</v>
      </c>
      <c r="G7">
        <f ca="1">IF(AND($B$74=1,LEN($G$14) * LEN($G$13)&gt;0),($G$14/$G$13)*100,HLOOKUP(INDIRECT(ADDRESS(2,COLUMN())),OFFSET($AH$2,0,0,ROW()-1,28),ROW()-1,FALSE))</f>
        <v>53.441265780000002</v>
      </c>
      <c r="H7">
        <f ca="1">IF(AND($B$74=1,LEN($H$14) * LEN($H$13)&gt;0),($H$14/$H$13)*100,HLOOKUP(INDIRECT(ADDRESS(2,COLUMN())),OFFSET($AH$2,0,0,ROW()-1,28),ROW()-1,FALSE))</f>
        <v>52.638600940000003</v>
      </c>
      <c r="I7">
        <f ca="1">IF(AND($B$74=1,LEN($I$14) * LEN($I$13)&gt;0),($I$14/$I$13)*100,HLOOKUP(INDIRECT(ADDRESS(2,COLUMN())),OFFSET($AH$2,0,0,ROW()-1,28),ROW()-1,FALSE))</f>
        <v>51.126708790000002</v>
      </c>
      <c r="J7">
        <f ca="1">IF(AND($B$74=1,LEN($J$14) * LEN($J$13)&gt;0),($J$14/$J$13)*100,HLOOKUP(INDIRECT(ADDRESS(2,COLUMN())),OFFSET($AH$2,0,0,ROW()-1,28),ROW()-1,FALSE))</f>
        <v>50.136732739999999</v>
      </c>
      <c r="K7">
        <f ca="1">IF(AND($B$74=1,LEN($K$14) * LEN($K$13)&gt;0),($K$14/$K$13)*100,HLOOKUP(INDIRECT(ADDRESS(2,COLUMN())),OFFSET($AH$2,0,0,ROW()-1,28),ROW()-1,FALSE))</f>
        <v>48.95340685</v>
      </c>
      <c r="L7">
        <f ca="1">IF(AND($B$74=1,LEN($L$14) * LEN($L$13)&gt;0),($L$14/$L$13)*100,HLOOKUP(INDIRECT(ADDRESS(2,COLUMN())),OFFSET($AH$2,0,0,ROW()-1,28),ROW()-1,FALSE))</f>
        <v>47.964704169999997</v>
      </c>
      <c r="M7">
        <f ca="1">IF(AND($B$74=1,LEN($M$14) * LEN($M$13)&gt;0),($M$14/$M$13)*100,HLOOKUP(INDIRECT(ADDRESS(2,COLUMN())),OFFSET($AH$2,0,0,ROW()-1,28),ROW()-1,FALSE))</f>
        <v>46.404190229999998</v>
      </c>
      <c r="N7">
        <f ca="1">IF(AND($B$74=1,LEN($N$14) * LEN($N$13)&gt;0),($N$14/$N$13)*100,HLOOKUP(INDIRECT(ADDRESS(2,COLUMN())),OFFSET($AH$2,0,0,ROW()-1,28),ROW()-1,FALSE))</f>
        <v>45.328457630000003</v>
      </c>
      <c r="O7">
        <f ca="1">IF(AND($B$74=1,LEN($O$14) * LEN($O$13)&gt;0),($O$14/$O$13)*100,HLOOKUP(INDIRECT(ADDRESS(2,COLUMN())),OFFSET($AH$2,0,0,ROW()-1,28),ROW()-1,FALSE))</f>
        <v>43.878491500000003</v>
      </c>
      <c r="P7">
        <f ca="1">IF(AND($B$74=1,LEN($P$14) * LEN($P$13)&gt;0),($P$14/$P$13)*100,HLOOKUP(INDIRECT(ADDRESS(2,COLUMN())),OFFSET($AH$2,0,0,ROW()-1,28),ROW()-1,FALSE))</f>
        <v>42.79178254</v>
      </c>
      <c r="Q7">
        <f ca="1">IF(AND($B$74=1,LEN($Q$14) * LEN($Q$13)&gt;0),($Q$14/$Q$13)*100,HLOOKUP(INDIRECT(ADDRESS(2,COLUMN())),OFFSET($AH$2,0,0,ROW()-1,28),ROW()-1,FALSE))</f>
        <v>41.78018805</v>
      </c>
      <c r="R7">
        <f ca="1">IF(AND($B$74=1,LEN($R$14) * LEN($R$13)&gt;0),($R$14/$R$13)*100,HLOOKUP(INDIRECT(ADDRESS(2,COLUMN())),OFFSET($AH$2,0,0,ROW()-1,28),ROW()-1,FALSE))</f>
        <v>41.605092990000003</v>
      </c>
      <c r="S7">
        <f ca="1">IF(AND($B$74=1,LEN($S$14) * LEN($S$13)&gt;0),($S$14/$S$13)*100,HLOOKUP(INDIRECT(ADDRESS(2,COLUMN())),OFFSET($AH$2,0,0,ROW()-1,28),ROW()-1,FALSE))</f>
        <v>41.186121219999997</v>
      </c>
      <c r="T7">
        <f ca="1">IF(AND($B$74=1,LEN($T$14) * LEN($T$13)&gt;0),($T$14/$T$13)*100,HLOOKUP(INDIRECT(ADDRESS(2,COLUMN())),OFFSET($AH$2,0,0,ROW()-1,28),ROW()-1,FALSE))</f>
        <v>39.842110650000002</v>
      </c>
      <c r="U7">
        <f ca="1">IF(AND($B$74=1,LEN($U$14) * LEN($U$13)&gt;0),($U$14/$U$13)*100,HLOOKUP(INDIRECT(ADDRESS(2,COLUMN())),OFFSET($AH$2,0,0,ROW()-1,28),ROW()-1,FALSE))</f>
        <v>38.22369973</v>
      </c>
      <c r="V7">
        <f ca="1">IF(AND($B$74=1,LEN($V$14) * LEN($V$13)&gt;0),($V$14/$V$13)*100,HLOOKUP(INDIRECT(ADDRESS(2,COLUMN())),OFFSET($AH$2,0,0,ROW()-1,28),ROW()-1,FALSE))</f>
        <v>37.751042079999998</v>
      </c>
      <c r="W7">
        <f ca="1">IF(AND($B$74=1,LEN($W$14) * LEN($W$13)&gt;0),($W$14/$W$13)*100,HLOOKUP(INDIRECT(ADDRESS(2,COLUMN())),OFFSET($AH$2,0,0,ROW()-1,28),ROW()-1,FALSE))</f>
        <v>36.026474839999999</v>
      </c>
      <c r="X7">
        <f ca="1">IF(AND($B$74=1,LEN($X$14) * LEN($X$13)&gt;0),($X$14/$X$13)*100,HLOOKUP(INDIRECT(ADDRESS(2,COLUMN())),OFFSET($AH$2,0,0,ROW()-1,28),ROW()-1,FALSE))</f>
        <v>34.352406989999999</v>
      </c>
      <c r="Y7">
        <f ca="1">IF(AND($B$74=1,LEN($Y$14) * LEN($Y$13)&gt;0),($Y$14/$Y$13)*100,HLOOKUP(INDIRECT(ADDRESS(2,COLUMN())),OFFSET($AH$2,0,0,ROW()-1,28),ROW()-1,FALSE))</f>
        <v>32.505148210000002</v>
      </c>
      <c r="Z7">
        <f ca="1">IF(AND($B$74=1,LEN($Z$14) * LEN($Z$13)&gt;0),($Z$14/$Z$13)*100,HLOOKUP(INDIRECT(ADDRESS(2,COLUMN())),OFFSET($AH$2,0,0,ROW()-1,28),ROW()-1,FALSE))</f>
        <v>31.409681760000002</v>
      </c>
      <c r="AA7">
        <f ca="1">IF(AND($B$74=1,LEN($AA$14) * LEN($AA$13)&gt;0),($AA$14/$AA$13)*100,HLOOKUP(INDIRECT(ADDRESS(2,COLUMN())),OFFSET($AH$2,0,0,ROW()-1,28),ROW()-1,FALSE))</f>
        <v>30.417418850000001</v>
      </c>
      <c r="AB7">
        <f ca="1">IF(AND($B$74=1,LEN($AB$14) * LEN($AB$13)&gt;0),($AB$14/$AB$13)*100,HLOOKUP(INDIRECT(ADDRESS(2,COLUMN())),OFFSET($AH$2,0,0,ROW()-1,28),ROW()-1,FALSE))</f>
        <v>29.426863919999999</v>
      </c>
      <c r="AC7">
        <f ca="1">IF(AND($B$74=1,LEN($AC$14) * LEN($AC$13)&gt;0),($AC$14/$AC$13)*100,HLOOKUP(INDIRECT(ADDRESS(2,COLUMN())),OFFSET($AH$2,0,0,ROW()-1,28),ROW()-1,FALSE))</f>
        <v>27.712089039999999</v>
      </c>
      <c r="AD7">
        <f ca="1">IF(AND($B$74=1,LEN($AD$14) * LEN($AD$13)&gt;0),($AD$14/$AD$13)*100,HLOOKUP(INDIRECT(ADDRESS(2,COLUMN())),OFFSET($AH$2,0,0,ROW()-1,28),ROW()-1,FALSE))</f>
        <v>27.224338400000001</v>
      </c>
      <c r="AE7">
        <f ca="1">IF(AND($B$74=1,LEN($AE$14) * LEN($AE$13)&gt;0),($AE$14/$AE$13)*100,HLOOKUP(INDIRECT(ADDRESS(2,COLUMN())),OFFSET($AH$2,0,0,ROW()-1,28),ROW()-1,FALSE))</f>
        <v>26.09499259</v>
      </c>
      <c r="AF7">
        <f ca="1">IF(AND($B$74=1,LEN($AF$14) * LEN($AF$13)&gt;0),($AF$14/$AF$13)*100,HLOOKUP(INDIRECT(ADDRESS(2,COLUMN())),OFFSET($AH$2,0,0,ROW()-1,28),ROW()-1,FALSE))</f>
        <v>25.482053659999998</v>
      </c>
      <c r="AG7">
        <f ca="1">IF(AND($B$74=1,LEN($AG$14) * LEN($AG$13)&gt;0),($AG$14/$AG$13)*100,HLOOKUP(INDIRECT(ADDRESS(2,COLUMN())),OFFSET($AH$2,0,0,ROW()-1,28),ROW()-1,FALSE))</f>
        <v>25.01972542</v>
      </c>
      <c r="AH7">
        <f>54.08112368</f>
        <v>54.081123679999997</v>
      </c>
      <c r="AI7">
        <f>53.44126578</f>
        <v>53.441265780000002</v>
      </c>
      <c r="AJ7">
        <f>52.63860094</f>
        <v>52.638600940000003</v>
      </c>
      <c r="AK7">
        <f>51.12670879</f>
        <v>51.126708790000002</v>
      </c>
      <c r="AL7">
        <f>50.13673274</f>
        <v>50.136732739999999</v>
      </c>
      <c r="AM7">
        <f>48.95340685</f>
        <v>48.95340685</v>
      </c>
      <c r="AN7">
        <f>47.96470417</f>
        <v>47.964704169999997</v>
      </c>
      <c r="AO7">
        <f>46.40419023</f>
        <v>46.404190229999998</v>
      </c>
      <c r="AP7">
        <f>45.32845763</f>
        <v>45.328457630000003</v>
      </c>
      <c r="AQ7">
        <f>43.8784915</f>
        <v>43.878491500000003</v>
      </c>
      <c r="AR7">
        <f>42.79178254</f>
        <v>42.79178254</v>
      </c>
      <c r="AS7">
        <f>41.78018805</f>
        <v>41.78018805</v>
      </c>
      <c r="AT7">
        <f>41.60509299</f>
        <v>41.605092990000003</v>
      </c>
      <c r="AU7">
        <f>41.18612122</f>
        <v>41.186121219999997</v>
      </c>
      <c r="AV7">
        <f>39.84211065</f>
        <v>39.842110650000002</v>
      </c>
      <c r="AW7">
        <f>38.22369973</f>
        <v>38.22369973</v>
      </c>
      <c r="AX7">
        <f>37.75104208</f>
        <v>37.751042079999998</v>
      </c>
      <c r="AY7">
        <f>36.02647484</f>
        <v>36.026474839999999</v>
      </c>
      <c r="AZ7">
        <f>34.35240699</f>
        <v>34.352406989999999</v>
      </c>
      <c r="BA7">
        <f>32.50514821</f>
        <v>32.505148210000002</v>
      </c>
      <c r="BB7">
        <f>31.40968176</f>
        <v>31.409681760000002</v>
      </c>
      <c r="BC7">
        <f>30.41741885</f>
        <v>30.417418850000001</v>
      </c>
      <c r="BD7">
        <f>29.42686392</f>
        <v>29.426863919999999</v>
      </c>
      <c r="BE7">
        <f>27.71208904</f>
        <v>27.712089039999999</v>
      </c>
      <c r="BF7">
        <f>27.2243384</f>
        <v>27.224338400000001</v>
      </c>
      <c r="BG7">
        <f>26.09499259</f>
        <v>26.09499259</v>
      </c>
      <c r="BH7">
        <f>25.48205366</f>
        <v>25.482053659999998</v>
      </c>
      <c r="BI7">
        <f>25.01972542</f>
        <v>25.01972542</v>
      </c>
    </row>
    <row r="8" spans="1:61" x14ac:dyDescent="0.25">
      <c r="A8" t="str">
        <f>"    Passive % Of All Fixed Income Funds"</f>
        <v xml:space="preserve">    Passive % Of All Fixed Income Funds</v>
      </c>
      <c r="B8" t="str">
        <f>""</f>
        <v/>
      </c>
      <c r="E8" t="str">
        <f>"Expression"</f>
        <v>Expression</v>
      </c>
      <c r="F8">
        <f ca="1">IF(AND($B$74=1,LEN($F$21) * LEN($F$20)&gt;0),($F$21/$F$20)*100,HLOOKUP(INDIRECT(ADDRESS(2,COLUMN())),OFFSET($AH$2,0,0,ROW()-1,28),ROW()-1,FALSE))</f>
        <v>38.508900680000004</v>
      </c>
      <c r="G8">
        <f ca="1">IF(AND($B$74=1,LEN($G$21) * LEN($G$20)&gt;0),($G$21/$G$20)*100,HLOOKUP(INDIRECT(ADDRESS(2,COLUMN())),OFFSET($AH$2,0,0,ROW()-1,28),ROW()-1,FALSE))</f>
        <v>38.189375480000002</v>
      </c>
      <c r="H8">
        <f ca="1">IF(AND($B$74=1,LEN($H$21) * LEN($H$20)&gt;0),($H$21/$H$20)*100,HLOOKUP(INDIRECT(ADDRESS(2,COLUMN())),OFFSET($AH$2,0,0,ROW()-1,28),ROW()-1,FALSE))</f>
        <v>37.55142781</v>
      </c>
      <c r="I8">
        <f ca="1">IF(AND($B$74=1,LEN($I$21) * LEN($I$20)&gt;0),($I$21/$I$20)*100,HLOOKUP(INDIRECT(ADDRESS(2,COLUMN())),OFFSET($AH$2,0,0,ROW()-1,28),ROW()-1,FALSE))</f>
        <v>37.440025929999997</v>
      </c>
      <c r="J8">
        <f ca="1">IF(AND($B$74=1,LEN($J$21) * LEN($J$20)&gt;0),($J$21/$J$20)*100,HLOOKUP(INDIRECT(ADDRESS(2,COLUMN())),OFFSET($AH$2,0,0,ROW()-1,28),ROW()-1,FALSE))</f>
        <v>37.408445729999997</v>
      </c>
      <c r="K8">
        <f ca="1">IF(AND($B$74=1,LEN($K$21) * LEN($K$20)&gt;0),($K$21/$K$20)*100,HLOOKUP(INDIRECT(ADDRESS(2,COLUMN())),OFFSET($AH$2,0,0,ROW()-1,28),ROW()-1,FALSE))</f>
        <v>36.457364730000002</v>
      </c>
      <c r="L8">
        <f ca="1">IF(AND($B$74=1,LEN($L$21) * LEN($L$20)&gt;0),($L$21/$L$20)*100,HLOOKUP(INDIRECT(ADDRESS(2,COLUMN())),OFFSET($AH$2,0,0,ROW()-1,28),ROW()-1,FALSE))</f>
        <v>36.325285209999997</v>
      </c>
      <c r="M8">
        <f ca="1">IF(AND($B$74=1,LEN($M$21) * LEN($M$20)&gt;0),($M$21/$M$20)*100,HLOOKUP(INDIRECT(ADDRESS(2,COLUMN())),OFFSET($AH$2,0,0,ROW()-1,28),ROW()-1,FALSE))</f>
        <v>34.004145530000002</v>
      </c>
      <c r="N8">
        <f ca="1">IF(AND($B$74=1,LEN($N$21) * LEN($N$20)&gt;0),($N$21/$N$20)*100,HLOOKUP(INDIRECT(ADDRESS(2,COLUMN())),OFFSET($AH$2,0,0,ROW()-1,28),ROW()-1,FALSE))</f>
        <v>31.896073019999999</v>
      </c>
      <c r="O8">
        <f ca="1">IF(AND($B$74=1,LEN($O$21) * LEN($O$20)&gt;0),($O$21/$O$20)*100,HLOOKUP(INDIRECT(ADDRESS(2,COLUMN())),OFFSET($AH$2,0,0,ROW()-1,28),ROW()-1,FALSE))</f>
        <v>31.37792198</v>
      </c>
      <c r="P8">
        <f ca="1">IF(AND($B$74=1,LEN($P$21) * LEN($P$20)&gt;0),($P$21/$P$20)*100,HLOOKUP(INDIRECT(ADDRESS(2,COLUMN())),OFFSET($AH$2,0,0,ROW()-1,28),ROW()-1,FALSE))</f>
        <v>31.15951209</v>
      </c>
      <c r="Q8">
        <f ca="1">IF(AND($B$74=1,LEN($Q$21) * LEN($Q$20)&gt;0),($Q$21/$Q$20)*100,HLOOKUP(INDIRECT(ADDRESS(2,COLUMN())),OFFSET($AH$2,0,0,ROW()-1,28),ROW()-1,FALSE))</f>
        <v>31.117413710000001</v>
      </c>
      <c r="R8">
        <f ca="1">IF(AND($B$74=1,LEN($R$21) * LEN($R$20)&gt;0),($R$21/$R$20)*100,HLOOKUP(INDIRECT(ADDRESS(2,COLUMN())),OFFSET($AH$2,0,0,ROW()-1,28),ROW()-1,FALSE))</f>
        <v>29.576187130000001</v>
      </c>
      <c r="S8">
        <f ca="1">IF(AND($B$74=1,LEN($S$21) * LEN($S$20)&gt;0),($S$21/$S$20)*100,HLOOKUP(INDIRECT(ADDRESS(2,COLUMN())),OFFSET($AH$2,0,0,ROW()-1,28),ROW()-1,FALSE))</f>
        <v>29.46972895</v>
      </c>
      <c r="T8">
        <f ca="1">IF(AND($B$74=1,LEN($T$21) * LEN($T$20)&gt;0),($T$21/$T$20)*100,HLOOKUP(INDIRECT(ADDRESS(2,COLUMN())),OFFSET($AH$2,0,0,ROW()-1,28),ROW()-1,FALSE))</f>
        <v>28.07770923</v>
      </c>
      <c r="U8">
        <f ca="1">IF(AND($B$74=1,LEN($U$21) * LEN($U$20)&gt;0),($U$21/$U$20)*100,HLOOKUP(INDIRECT(ADDRESS(2,COLUMN())),OFFSET($AH$2,0,0,ROW()-1,28),ROW()-1,FALSE))</f>
        <v>26.764074669999999</v>
      </c>
      <c r="V8">
        <f ca="1">IF(AND($B$74=1,LEN($V$21) * LEN($V$20)&gt;0),($V$21/$V$20)*100,HLOOKUP(INDIRECT(ADDRESS(2,COLUMN())),OFFSET($AH$2,0,0,ROW()-1,28),ROW()-1,FALSE))</f>
        <v>26.115049719999998</v>
      </c>
      <c r="W8">
        <f ca="1">IF(AND($B$74=1,LEN($W$21) * LEN($W$20)&gt;0),($W$21/$W$20)*100,HLOOKUP(INDIRECT(ADDRESS(2,COLUMN())),OFFSET($AH$2,0,0,ROW()-1,28),ROW()-1,FALSE))</f>
        <v>24.7836012</v>
      </c>
      <c r="X8">
        <f ca="1">IF(AND($B$74=1,LEN($X$21) * LEN($X$20)&gt;0),($X$21/$X$20)*100,HLOOKUP(INDIRECT(ADDRESS(2,COLUMN())),OFFSET($AH$2,0,0,ROW()-1,28),ROW()-1,FALSE))</f>
        <v>23.272016669999999</v>
      </c>
      <c r="Y8">
        <f ca="1">IF(AND($B$74=1,LEN($Y$21) * LEN($Y$20)&gt;0),($Y$21/$Y$20)*100,HLOOKUP(INDIRECT(ADDRESS(2,COLUMN())),OFFSET($AH$2,0,0,ROW()-1,28),ROW()-1,FALSE))</f>
        <v>22.318445310000001</v>
      </c>
      <c r="Z8">
        <f ca="1">IF(AND($B$74=1,LEN($Z$21) * LEN($Z$20)&gt;0),($Z$21/$Z$20)*100,HLOOKUP(INDIRECT(ADDRESS(2,COLUMN())),OFFSET($AH$2,0,0,ROW()-1,28),ROW()-1,FALSE))</f>
        <v>20.954988920000002</v>
      </c>
      <c r="AA8">
        <f ca="1">IF(AND($B$74=1,LEN($AA$21) * LEN($AA$20)&gt;0),($AA$21/$AA$20)*100,HLOOKUP(INDIRECT(ADDRESS(2,COLUMN())),OFFSET($AH$2,0,0,ROW()-1,28),ROW()-1,FALSE))</f>
        <v>19.51103062</v>
      </c>
      <c r="AB8">
        <f ca="1">IF(AND($B$74=1,LEN($AB$21) * LEN($AB$20)&gt;0),($AB$21/$AB$20)*100,HLOOKUP(INDIRECT(ADDRESS(2,COLUMN())),OFFSET($AH$2,0,0,ROW()-1,28),ROW()-1,FALSE))</f>
        <v>18.517264669999999</v>
      </c>
      <c r="AC8">
        <f ca="1">IF(AND($B$74=1,LEN($AC$21) * LEN($AC$20)&gt;0),($AC$21/$AC$20)*100,HLOOKUP(INDIRECT(ADDRESS(2,COLUMN())),OFFSET($AH$2,0,0,ROW()-1,28),ROW()-1,FALSE))</f>
        <v>16.767666680000001</v>
      </c>
      <c r="AD8">
        <f ca="1">IF(AND($B$74=1,LEN($AD$21) * LEN($AD$20)&gt;0),($AD$21/$AD$20)*100,HLOOKUP(INDIRECT(ADDRESS(2,COLUMN())),OFFSET($AH$2,0,0,ROW()-1,28),ROW()-1,FALSE))</f>
        <v>16.24175533</v>
      </c>
      <c r="AE8">
        <f ca="1">IF(AND($B$74=1,LEN($AE$21) * LEN($AE$20)&gt;0),($AE$21/$AE$20)*100,HLOOKUP(INDIRECT(ADDRESS(2,COLUMN())),OFFSET($AH$2,0,0,ROW()-1,28),ROW()-1,FALSE))</f>
        <v>15.865767050000001</v>
      </c>
      <c r="AF8">
        <f ca="1">IF(AND($B$74=1,LEN($AF$21) * LEN($AF$20)&gt;0),($AF$21/$AF$20)*100,HLOOKUP(INDIRECT(ADDRESS(2,COLUMN())),OFFSET($AH$2,0,0,ROW()-1,28),ROW()-1,FALSE))</f>
        <v>15.51131314</v>
      </c>
      <c r="AG8">
        <f ca="1">IF(AND($B$74=1,LEN($AG$21) * LEN($AG$20)&gt;0),($AG$21/$AG$20)*100,HLOOKUP(INDIRECT(ADDRESS(2,COLUMN())),OFFSET($AH$2,0,0,ROW()-1,28),ROW()-1,FALSE))</f>
        <v>15.79825001</v>
      </c>
      <c r="AH8">
        <f>38.50890068</f>
        <v>38.508900680000004</v>
      </c>
      <c r="AI8">
        <f>38.18937548</f>
        <v>38.189375480000002</v>
      </c>
      <c r="AJ8">
        <f>37.55142781</f>
        <v>37.55142781</v>
      </c>
      <c r="AK8">
        <f>37.44002593</f>
        <v>37.440025929999997</v>
      </c>
      <c r="AL8">
        <f>37.40844573</f>
        <v>37.408445729999997</v>
      </c>
      <c r="AM8">
        <f>36.45736473</f>
        <v>36.457364730000002</v>
      </c>
      <c r="AN8">
        <f>36.32528521</f>
        <v>36.325285209999997</v>
      </c>
      <c r="AO8">
        <f>34.00414553</f>
        <v>34.004145530000002</v>
      </c>
      <c r="AP8">
        <f>31.89607302</f>
        <v>31.896073019999999</v>
      </c>
      <c r="AQ8">
        <f>31.37792198</f>
        <v>31.37792198</v>
      </c>
      <c r="AR8">
        <f>31.15951209</f>
        <v>31.15951209</v>
      </c>
      <c r="AS8">
        <f>31.11741371</f>
        <v>31.117413710000001</v>
      </c>
      <c r="AT8">
        <f>29.57618713</f>
        <v>29.576187130000001</v>
      </c>
      <c r="AU8">
        <f>29.46972895</f>
        <v>29.46972895</v>
      </c>
      <c r="AV8">
        <f>28.07770923</f>
        <v>28.07770923</v>
      </c>
      <c r="AW8">
        <f>26.76407467</f>
        <v>26.764074669999999</v>
      </c>
      <c r="AX8">
        <f>26.11504972</f>
        <v>26.115049719999998</v>
      </c>
      <c r="AY8">
        <f>24.7836012</f>
        <v>24.7836012</v>
      </c>
      <c r="AZ8">
        <f>23.27201667</f>
        <v>23.272016669999999</v>
      </c>
      <c r="BA8">
        <f>22.31844531</f>
        <v>22.318445310000001</v>
      </c>
      <c r="BB8">
        <f>20.95498892</f>
        <v>20.954988920000002</v>
      </c>
      <c r="BC8">
        <f>19.51103062</f>
        <v>19.51103062</v>
      </c>
      <c r="BD8">
        <f>18.51726467</f>
        <v>18.517264669999999</v>
      </c>
      <c r="BE8">
        <f>16.76766668</f>
        <v>16.767666680000001</v>
      </c>
      <c r="BF8">
        <f>16.24175533</f>
        <v>16.24175533</v>
      </c>
      <c r="BG8">
        <f>15.86576705</f>
        <v>15.865767050000001</v>
      </c>
      <c r="BH8">
        <f>15.51131314</f>
        <v>15.51131314</v>
      </c>
      <c r="BI8">
        <f>15.79825001</f>
        <v>15.79825001</v>
      </c>
    </row>
    <row r="9" spans="1:61" x14ac:dyDescent="0.25">
      <c r="A9" t="str">
        <f>"    Passive % Of All Equity Funds"</f>
        <v xml:space="preserve">    Passive % Of All Equity Funds</v>
      </c>
      <c r="B9" t="str">
        <f>""</f>
        <v/>
      </c>
      <c r="E9" t="str">
        <f>"Expression"</f>
        <v>Expression</v>
      </c>
      <c r="F9">
        <f ca="1">IF(AND($B$74=1,LEN($F$28) * LEN($F$27)&gt;0),($F$28/$F$27)*100,HLOOKUP(INDIRECT(ADDRESS(2,COLUMN())),OFFSET($AH$2,0,0,ROW()-1,28),ROW()-1,FALSE))</f>
        <v>61.17163678</v>
      </c>
      <c r="G9">
        <f ca="1">IF(AND($B$74=1,LEN($G$28) * LEN($G$27)&gt;0),($G$28/$G$27)*100,HLOOKUP(INDIRECT(ADDRESS(2,COLUMN())),OFFSET($AH$2,0,0,ROW()-1,28),ROW()-1,FALSE))</f>
        <v>60.580738969999999</v>
      </c>
      <c r="H9">
        <f ca="1">IF(AND($B$74=1,LEN($H$28) * LEN($H$27)&gt;0),($H$28/$H$27)*100,HLOOKUP(INDIRECT(ADDRESS(2,COLUMN())),OFFSET($AH$2,0,0,ROW()-1,28),ROW()-1,FALSE))</f>
        <v>59.983843100000001</v>
      </c>
      <c r="I9">
        <f ca="1">IF(AND($B$74=1,LEN($I$28) * LEN($I$27)&gt;0),($I$28/$I$27)*100,HLOOKUP(INDIRECT(ADDRESS(2,COLUMN())),OFFSET($AH$2,0,0,ROW()-1,28),ROW()-1,FALSE))</f>
        <v>58.220890750000002</v>
      </c>
      <c r="J9">
        <f ca="1">IF(AND($B$74=1,LEN($J$28) * LEN($J$27)&gt;0),($J$28/$J$27)*100,HLOOKUP(INDIRECT(ADDRESS(2,COLUMN())),OFFSET($AH$2,0,0,ROW()-1,28),ROW()-1,FALSE))</f>
        <v>57.433796940000001</v>
      </c>
      <c r="K9">
        <f ca="1">IF(AND($B$74=1,LEN($K$28) * LEN($K$27)&gt;0),($K$28/$K$27)*100,HLOOKUP(INDIRECT(ADDRESS(2,COLUMN())),OFFSET($AH$2,0,0,ROW()-1,28),ROW()-1,FALSE))</f>
        <v>56.39454791</v>
      </c>
      <c r="L9">
        <f ca="1">IF(AND($B$74=1,LEN($L$28) * LEN($L$27)&gt;0),($L$28/$L$27)*100,HLOOKUP(INDIRECT(ADDRESS(2,COLUMN())),OFFSET($AH$2,0,0,ROW()-1,28),ROW()-1,FALSE))</f>
        <v>55.74934614</v>
      </c>
      <c r="M9">
        <f ca="1">IF(AND($B$74=1,LEN($M$28) * LEN($M$27)&gt;0),($M$28/$M$27)*100,HLOOKUP(INDIRECT(ADDRESS(2,COLUMN())),OFFSET($AH$2,0,0,ROW()-1,28),ROW()-1,FALSE))</f>
        <v>54.656960740000002</v>
      </c>
      <c r="N9">
        <f ca="1">IF(AND($B$74=1,LEN($N$28) * LEN($N$27)&gt;0),($N$28/$N$27)*100,HLOOKUP(INDIRECT(ADDRESS(2,COLUMN())),OFFSET($AH$2,0,0,ROW()-1,28),ROW()-1,FALSE))</f>
        <v>53.073345750000001</v>
      </c>
      <c r="O9">
        <f ca="1">IF(AND($B$74=1,LEN($O$28) * LEN($O$27)&gt;0),($O$28/$O$27)*100,HLOOKUP(INDIRECT(ADDRESS(2,COLUMN())),OFFSET($AH$2,0,0,ROW()-1,28),ROW()-1,FALSE))</f>
        <v>51.397545790000002</v>
      </c>
      <c r="P9">
        <f ca="1">IF(AND($B$74=1,LEN($P$28) * LEN($P$27)&gt;0),($P$28/$P$27)*100,HLOOKUP(INDIRECT(ADDRESS(2,COLUMN())),OFFSET($AH$2,0,0,ROW()-1,28),ROW()-1,FALSE))</f>
        <v>50.207717129999999</v>
      </c>
      <c r="Q9">
        <f ca="1">IF(AND($B$74=1,LEN($Q$28) * LEN($Q$27)&gt;0),($Q$28/$Q$27)*100,HLOOKUP(INDIRECT(ADDRESS(2,COLUMN())),OFFSET($AH$2,0,0,ROW()-1,28),ROW()-1,FALSE))</f>
        <v>49.461104839999997</v>
      </c>
      <c r="R9">
        <f ca="1">IF(AND($B$74=1,LEN($R$28) * LEN($R$27)&gt;0),($R$28/$R$27)*100,HLOOKUP(INDIRECT(ADDRESS(2,COLUMN())),OFFSET($AH$2,0,0,ROW()-1,28),ROW()-1,FALSE))</f>
        <v>49.626280649999998</v>
      </c>
      <c r="S9">
        <f ca="1">IF(AND($B$74=1,LEN($S$28) * LEN($S$27)&gt;0),($S$28/$S$27)*100,HLOOKUP(INDIRECT(ADDRESS(2,COLUMN())),OFFSET($AH$2,0,0,ROW()-1,28),ROW()-1,FALSE))</f>
        <v>49.255014279999997</v>
      </c>
      <c r="T9">
        <f ca="1">IF(AND($B$74=1,LEN($T$28) * LEN($T$27)&gt;0),($T$28/$T$27)*100,HLOOKUP(INDIRECT(ADDRESS(2,COLUMN())),OFFSET($AH$2,0,0,ROW()-1,28),ROW()-1,FALSE))</f>
        <v>48.345161730000001</v>
      </c>
      <c r="U9">
        <f ca="1">IF(AND($B$74=1,LEN($U$28) * LEN($U$27)&gt;0),($U$28/$U$27)*100,HLOOKUP(INDIRECT(ADDRESS(2,COLUMN())),OFFSET($AH$2,0,0,ROW()-1,28),ROW()-1,FALSE))</f>
        <v>45.835680699999998</v>
      </c>
      <c r="V9">
        <f ca="1">IF(AND($B$74=1,LEN($V$28) * LEN($V$27)&gt;0),($V$28/$V$27)*100,HLOOKUP(INDIRECT(ADDRESS(2,COLUMN())),OFFSET($AH$2,0,0,ROW()-1,28),ROW()-1,FALSE))</f>
        <v>45.449153590000002</v>
      </c>
      <c r="W9">
        <f ca="1">IF(AND($B$74=1,LEN($W$28) * LEN($W$27)&gt;0),($W$28/$W$27)*100,HLOOKUP(INDIRECT(ADDRESS(2,COLUMN())),OFFSET($AH$2,0,0,ROW()-1,28),ROW()-1,FALSE))</f>
        <v>43.844800120000002</v>
      </c>
      <c r="X9">
        <f ca="1">IF(AND($B$74=1,LEN($X$28) * LEN($X$27)&gt;0),($X$28/$X$27)*100,HLOOKUP(INDIRECT(ADDRESS(2,COLUMN())),OFFSET($AH$2,0,0,ROW()-1,28),ROW()-1,FALSE))</f>
        <v>42.348752930000003</v>
      </c>
      <c r="Y9">
        <f ca="1">IF(AND($B$74=1,LEN($Y$28) * LEN($Y$27)&gt;0),($Y$28/$Y$27)*100,HLOOKUP(INDIRECT(ADDRESS(2,COLUMN())),OFFSET($AH$2,0,0,ROW()-1,28),ROW()-1,FALSE))</f>
        <v>40.179993539999998</v>
      </c>
      <c r="Z9">
        <f ca="1">IF(AND($B$74=1,LEN($Z$28) * LEN($Z$27)&gt;0),($Z$28/$Z$27)*100,HLOOKUP(INDIRECT(ADDRESS(2,COLUMN())),OFFSET($AH$2,0,0,ROW()-1,28),ROW()-1,FALSE))</f>
        <v>39.017128040000003</v>
      </c>
      <c r="AA9">
        <f ca="1">IF(AND($B$74=1,LEN($AA$28) * LEN($AA$27)&gt;0),($AA$28/$AA$27)*100,HLOOKUP(INDIRECT(ADDRESS(2,COLUMN())),OFFSET($AH$2,0,0,ROW()-1,28),ROW()-1,FALSE))</f>
        <v>37.733407929999998</v>
      </c>
      <c r="AB9">
        <f ca="1">IF(AND($B$74=1,LEN($AB$28) * LEN($AB$27)&gt;0),($AB$28/$AB$27)*100,HLOOKUP(INDIRECT(ADDRESS(2,COLUMN())),OFFSET($AH$2,0,0,ROW()-1,28),ROW()-1,FALSE))</f>
        <v>36.808456499999998</v>
      </c>
      <c r="AC9">
        <f ca="1">IF(AND($B$74=1,LEN($AC$28) * LEN($AC$27)&gt;0),($AC$28/$AC$27)*100,HLOOKUP(INDIRECT(ADDRESS(2,COLUMN())),OFFSET($AH$2,0,0,ROW()-1,28),ROW()-1,FALSE))</f>
        <v>34.973910959999998</v>
      </c>
      <c r="AD9">
        <f ca="1">IF(AND($B$74=1,LEN($AD$28) * LEN($AD$27)&gt;0),($AD$28/$AD$27)*100,HLOOKUP(INDIRECT(ADDRESS(2,COLUMN())),OFFSET($AH$2,0,0,ROW()-1,28),ROW()-1,FALSE))</f>
        <v>34.371795910000003</v>
      </c>
      <c r="AE9">
        <f ca="1">IF(AND($B$74=1,LEN($AE$28) * LEN($AE$27)&gt;0),($AE$28/$AE$27)*100,HLOOKUP(INDIRECT(ADDRESS(2,COLUMN())),OFFSET($AH$2,0,0,ROW()-1,28),ROW()-1,FALSE))</f>
        <v>33.7064849</v>
      </c>
      <c r="AF9">
        <f ca="1">IF(AND($B$74=1,LEN($AF$28) * LEN($AF$27)&gt;0),($AF$28/$AF$27)*100,HLOOKUP(INDIRECT(ADDRESS(2,COLUMN())),OFFSET($AH$2,0,0,ROW()-1,28),ROW()-1,FALSE))</f>
        <v>33.024504100000001</v>
      </c>
      <c r="AG9">
        <f ca="1">IF(AND($B$74=1,LEN($AG$28) * LEN($AG$27)&gt;0),($AG$28/$AG$27)*100,HLOOKUP(INDIRECT(ADDRESS(2,COLUMN())),OFFSET($AH$2,0,0,ROW()-1,28),ROW()-1,FALSE))</f>
        <v>32.260807409999998</v>
      </c>
      <c r="AH9">
        <f>61.17163678</f>
        <v>61.17163678</v>
      </c>
      <c r="AI9">
        <f>60.58073897</f>
        <v>60.580738969999999</v>
      </c>
      <c r="AJ9">
        <f>59.9838431</f>
        <v>59.983843100000001</v>
      </c>
      <c r="AK9">
        <f>58.22089075</f>
        <v>58.220890750000002</v>
      </c>
      <c r="AL9">
        <f>57.43379694</f>
        <v>57.433796940000001</v>
      </c>
      <c r="AM9">
        <f>56.39454791</f>
        <v>56.39454791</v>
      </c>
      <c r="AN9">
        <f>55.74934614</f>
        <v>55.74934614</v>
      </c>
      <c r="AO9">
        <f>54.65696074</f>
        <v>54.656960740000002</v>
      </c>
      <c r="AP9">
        <f>53.07334575</f>
        <v>53.073345750000001</v>
      </c>
      <c r="AQ9">
        <f>51.39754579</f>
        <v>51.397545790000002</v>
      </c>
      <c r="AR9">
        <f>50.20771713</f>
        <v>50.207717129999999</v>
      </c>
      <c r="AS9">
        <f>49.46110484</f>
        <v>49.461104839999997</v>
      </c>
      <c r="AT9">
        <f>49.62628065</f>
        <v>49.626280649999998</v>
      </c>
      <c r="AU9">
        <f>49.25501428</f>
        <v>49.255014279999997</v>
      </c>
      <c r="AV9">
        <f>48.34516173</f>
        <v>48.345161730000001</v>
      </c>
      <c r="AW9">
        <f>45.8356807</f>
        <v>45.835680699999998</v>
      </c>
      <c r="AX9">
        <f>45.44915359</f>
        <v>45.449153590000002</v>
      </c>
      <c r="AY9">
        <f>43.84480012</f>
        <v>43.844800120000002</v>
      </c>
      <c r="AZ9">
        <f>42.34875293</f>
        <v>42.348752930000003</v>
      </c>
      <c r="BA9">
        <f>40.17999354</f>
        <v>40.179993539999998</v>
      </c>
      <c r="BB9">
        <f>39.01712804</f>
        <v>39.017128040000003</v>
      </c>
      <c r="BC9">
        <f>37.73340793</f>
        <v>37.733407929999998</v>
      </c>
      <c r="BD9">
        <f>36.8084565</f>
        <v>36.808456499999998</v>
      </c>
      <c r="BE9">
        <f>34.97391096</f>
        <v>34.973910959999998</v>
      </c>
      <c r="BF9">
        <f>34.37179591</f>
        <v>34.371795910000003</v>
      </c>
      <c r="BG9">
        <f>33.7064849</f>
        <v>33.7064849</v>
      </c>
      <c r="BH9">
        <f>33.0245041</f>
        <v>33.024504100000001</v>
      </c>
      <c r="BI9">
        <f>32.26080741</f>
        <v>32.260807409999998</v>
      </c>
    </row>
    <row r="10" spans="1:61" x14ac:dyDescent="0.25">
      <c r="A10" t="str">
        <f>"    Passive % Of Domestic Equity Funds"</f>
        <v xml:space="preserve">    Passive % Of Domestic Equity Funds</v>
      </c>
      <c r="B10" t="str">
        <f>""</f>
        <v/>
      </c>
      <c r="E10" t="str">
        <f>"Expression"</f>
        <v>Expression</v>
      </c>
      <c r="F10">
        <f ca="1">IF(AND($B$74=1,LEN($F$35) * LEN($F$34)&gt;0),($F$35/$F$34)*100,HLOOKUP(INDIRECT(ADDRESS(2,COLUMN())),OFFSET($AH$2,0,0,ROW()-1,28),ROW()-1,FALSE))</f>
        <v>64.135501329999997</v>
      </c>
      <c r="G10">
        <f ca="1">IF(AND($B$74=1,LEN($G$35) * LEN($G$34)&gt;0),($G$35/$G$34)*100,HLOOKUP(INDIRECT(ADDRESS(2,COLUMN())),OFFSET($AH$2,0,0,ROW()-1,28),ROW()-1,FALSE))</f>
        <v>63.665221780000003</v>
      </c>
      <c r="H10">
        <f ca="1">IF(AND($B$74=1,LEN($H$35) * LEN($H$34)&gt;0),($H$35/$H$34)*100,HLOOKUP(INDIRECT(ADDRESS(2,COLUMN())),OFFSET($AH$2,0,0,ROW()-1,28),ROW()-1,FALSE))</f>
        <v>62.958835149999999</v>
      </c>
      <c r="I10">
        <f ca="1">IF(AND($B$74=1,LEN($I$35) * LEN($I$34)&gt;0),($I$35/$I$34)*100,HLOOKUP(INDIRECT(ADDRESS(2,COLUMN())),OFFSET($AH$2,0,0,ROW()-1,28),ROW()-1,FALSE))</f>
        <v>61.174771839999998</v>
      </c>
      <c r="J10">
        <f ca="1">IF(AND($B$74=1,LEN($J$35) * LEN($J$34)&gt;0),($J$35/$J$34)*100,HLOOKUP(INDIRECT(ADDRESS(2,COLUMN())),OFFSET($AH$2,0,0,ROW()-1,28),ROW()-1,FALSE))</f>
        <v>60.37999903</v>
      </c>
      <c r="K10">
        <f ca="1">IF(AND($B$74=1,LEN($K$35) * LEN($K$34)&gt;0),($K$35/$K$34)*100,HLOOKUP(INDIRECT(ADDRESS(2,COLUMN())),OFFSET($AH$2,0,0,ROW()-1,28),ROW()-1,FALSE))</f>
        <v>59.402437020000001</v>
      </c>
      <c r="L10">
        <f ca="1">IF(AND($B$74=1,LEN($L$35) * LEN($L$34)&gt;0),($L$35/$L$34)*100,HLOOKUP(INDIRECT(ADDRESS(2,COLUMN())),OFFSET($AH$2,0,0,ROW()-1,28),ROW()-1,FALSE))</f>
        <v>58.697585480000001</v>
      </c>
      <c r="M10">
        <f ca="1">IF(AND($B$74=1,LEN($M$35) * LEN($M$34)&gt;0),($M$35/$M$34)*100,HLOOKUP(INDIRECT(ADDRESS(2,COLUMN())),OFFSET($AH$2,0,0,ROW()-1,28),ROW()-1,FALSE))</f>
        <v>57.703751910000001</v>
      </c>
      <c r="N10">
        <f ca="1">IF(AND($B$74=1,LEN($N$35) * LEN($N$34)&gt;0),($N$35/$N$34)*100,HLOOKUP(INDIRECT(ADDRESS(2,COLUMN())),OFFSET($AH$2,0,0,ROW()-1,28),ROW()-1,FALSE))</f>
        <v>56.209454440000002</v>
      </c>
      <c r="O10">
        <f ca="1">IF(AND($B$74=1,LEN($O$35) * LEN($O$34)&gt;0),($O$35/$O$34)*100,HLOOKUP(INDIRECT(ADDRESS(2,COLUMN())),OFFSET($AH$2,0,0,ROW()-1,28),ROW()-1,FALSE))</f>
        <v>54.525872890000002</v>
      </c>
      <c r="P10">
        <f ca="1">IF(AND($B$74=1,LEN($P$35) * LEN($P$34)&gt;0),($P$35/$P$34)*100,HLOOKUP(INDIRECT(ADDRESS(2,COLUMN())),OFFSET($AH$2,0,0,ROW()-1,28),ROW()-1,FALSE))</f>
        <v>53.33252409</v>
      </c>
      <c r="Q10">
        <f ca="1">IF(AND($B$74=1,LEN($Q$35) * LEN($Q$34)&gt;0),($Q$35/$Q$34)*100,HLOOKUP(INDIRECT(ADDRESS(2,COLUMN())),OFFSET($AH$2,0,0,ROW()-1,28),ROW()-1,FALSE))</f>
        <v>52.268226140000003</v>
      </c>
      <c r="R10">
        <f ca="1">IF(AND($B$74=1,LEN($R$35) * LEN($R$34)&gt;0),($R$35/$R$34)*100,HLOOKUP(INDIRECT(ADDRESS(2,COLUMN())),OFFSET($AH$2,0,0,ROW()-1,28),ROW()-1,FALSE))</f>
        <v>52.420491259999999</v>
      </c>
      <c r="S10">
        <f ca="1">IF(AND($B$74=1,LEN($S$35) * LEN($S$34)&gt;0),($S$35/$S$34)*100,HLOOKUP(INDIRECT(ADDRESS(2,COLUMN())),OFFSET($AH$2,0,0,ROW()-1,28),ROW()-1,FALSE))</f>
        <v>51.778042020000001</v>
      </c>
      <c r="T10">
        <f ca="1">IF(AND($B$74=1,LEN($T$35) * LEN($T$34)&gt;0),($T$35/$T$34)*100,HLOOKUP(INDIRECT(ADDRESS(2,COLUMN())),OFFSET($AH$2,0,0,ROW()-1,28),ROW()-1,FALSE))</f>
        <v>50.82999221</v>
      </c>
      <c r="U10">
        <f ca="1">IF(AND($B$74=1,LEN($U$35) * LEN($U$34)&gt;0),($U$35/$U$34)*100,HLOOKUP(INDIRECT(ADDRESS(2,COLUMN())),OFFSET($AH$2,0,0,ROW()-1,28),ROW()-1,FALSE))</f>
        <v>48.591687210000003</v>
      </c>
      <c r="V10">
        <f ca="1">IF(AND($B$74=1,LEN($V$35) * LEN($V$34)&gt;0),($V$35/$V$34)*100,HLOOKUP(INDIRECT(ADDRESS(2,COLUMN())),OFFSET($AH$2,0,0,ROW()-1,28),ROW()-1,FALSE))</f>
        <v>48.355863489999997</v>
      </c>
      <c r="W10">
        <f ca="1">IF(AND($B$74=1,LEN($W$35) * LEN($W$34)&gt;0),($W$35/$W$34)*100,HLOOKUP(INDIRECT(ADDRESS(2,COLUMN())),OFFSET($AH$2,0,0,ROW()-1,28),ROW()-1,FALSE))</f>
        <v>46.641489819999997</v>
      </c>
      <c r="X10">
        <f ca="1">IF(AND($B$74=1,LEN($X$35) * LEN($X$34)&gt;0),($X$35/$X$34)*100,HLOOKUP(INDIRECT(ADDRESS(2,COLUMN())),OFFSET($AH$2,0,0,ROW()-1,28),ROW()-1,FALSE))</f>
        <v>45.434496410000001</v>
      </c>
      <c r="Y10">
        <f ca="1">IF(AND($B$74=1,LEN($Y$35) * LEN($Y$34)&gt;0),($Y$35/$Y$34)*100,HLOOKUP(INDIRECT(ADDRESS(2,COLUMN())),OFFSET($AH$2,0,0,ROW()-1,28),ROW()-1,FALSE))</f>
        <v>43.197554590000003</v>
      </c>
      <c r="Z10">
        <f ca="1">IF(AND($B$74=1,LEN($Z$35) * LEN($Z$34)&gt;0),($Z$35/$Z$34)*100,HLOOKUP(INDIRECT(ADDRESS(2,COLUMN())),OFFSET($AH$2,0,0,ROW()-1,28),ROW()-1,FALSE))</f>
        <v>41.79663807</v>
      </c>
      <c r="AA10">
        <f ca="1">IF(AND($B$74=1,LEN($AA$35) * LEN($AA$34)&gt;0),($AA$35/$AA$34)*100,HLOOKUP(INDIRECT(ADDRESS(2,COLUMN())),OFFSET($AH$2,0,0,ROW()-1,28),ROW()-1,FALSE))</f>
        <v>40.552478530000002</v>
      </c>
      <c r="AB10">
        <f ca="1">IF(AND($B$74=1,LEN($AB$35) * LEN($AB$34)&gt;0),($AB$35/$AB$34)*100,HLOOKUP(INDIRECT(ADDRESS(2,COLUMN())),OFFSET($AH$2,0,0,ROW()-1,28),ROW()-1,FALSE))</f>
        <v>40.150037099999999</v>
      </c>
      <c r="AC10">
        <f ca="1">IF(AND($B$74=1,LEN($AC$35) * LEN($AC$34)&gt;0),($AC$35/$AC$34)*100,HLOOKUP(INDIRECT(ADDRESS(2,COLUMN())),OFFSET($AH$2,0,0,ROW()-1,28),ROW()-1,FALSE))</f>
        <v>38.070970780000003</v>
      </c>
      <c r="AD10">
        <f ca="1">IF(AND($B$74=1,LEN($AD$35) * LEN($AD$34)&gt;0),($AD$35/$AD$34)*100,HLOOKUP(INDIRECT(ADDRESS(2,COLUMN())),OFFSET($AH$2,0,0,ROW()-1,28),ROW()-1,FALSE))</f>
        <v>37.340625299999999</v>
      </c>
      <c r="AE10">
        <f ca="1">IF(AND($B$74=1,LEN($AE$35) * LEN($AE$34)&gt;0),($AE$35/$AE$34)*100,HLOOKUP(INDIRECT(ADDRESS(2,COLUMN())),OFFSET($AH$2,0,0,ROW()-1,28),ROW()-1,FALSE))</f>
        <v>36.608364950000002</v>
      </c>
      <c r="AF10">
        <f ca="1">IF(AND($B$74=1,LEN($AF$35) * LEN($AF$34)&gt;0),($AF$35/$AF$34)*100,HLOOKUP(INDIRECT(ADDRESS(2,COLUMN())),OFFSET($AH$2,0,0,ROW()-1,28),ROW()-1,FALSE))</f>
        <v>35.148219679999997</v>
      </c>
      <c r="AG10">
        <f ca="1">IF(AND($B$74=1,LEN($AG$35) * LEN($AG$34)&gt;0),($AG$35/$AG$34)*100,HLOOKUP(INDIRECT(ADDRESS(2,COLUMN())),OFFSET($AH$2,0,0,ROW()-1,28),ROW()-1,FALSE))</f>
        <v>34.647601600000002</v>
      </c>
      <c r="AH10">
        <f>64.13550133</f>
        <v>64.135501329999997</v>
      </c>
      <c r="AI10">
        <f>63.66522178</f>
        <v>63.665221780000003</v>
      </c>
      <c r="AJ10">
        <f>62.95883515</f>
        <v>62.958835149999999</v>
      </c>
      <c r="AK10">
        <f>61.17477184</f>
        <v>61.174771839999998</v>
      </c>
      <c r="AL10">
        <f>60.37999903</f>
        <v>60.37999903</v>
      </c>
      <c r="AM10">
        <f>59.40243702</f>
        <v>59.402437020000001</v>
      </c>
      <c r="AN10">
        <f>58.69758548</f>
        <v>58.697585480000001</v>
      </c>
      <c r="AO10">
        <f>57.70375191</f>
        <v>57.703751910000001</v>
      </c>
      <c r="AP10">
        <f>56.20945444</f>
        <v>56.209454440000002</v>
      </c>
      <c r="AQ10">
        <f>54.52587289</f>
        <v>54.525872890000002</v>
      </c>
      <c r="AR10">
        <f>53.33252409</f>
        <v>53.33252409</v>
      </c>
      <c r="AS10">
        <f>52.26822614</f>
        <v>52.268226140000003</v>
      </c>
      <c r="AT10">
        <f>52.42049126</f>
        <v>52.420491259999999</v>
      </c>
      <c r="AU10">
        <f>51.77804202</f>
        <v>51.778042020000001</v>
      </c>
      <c r="AV10">
        <f>50.82999221</f>
        <v>50.82999221</v>
      </c>
      <c r="AW10">
        <f>48.59168721</f>
        <v>48.591687210000003</v>
      </c>
      <c r="AX10">
        <f>48.35586349</f>
        <v>48.355863489999997</v>
      </c>
      <c r="AY10">
        <f>46.64148982</f>
        <v>46.641489819999997</v>
      </c>
      <c r="AZ10">
        <f>45.43449641</f>
        <v>45.434496410000001</v>
      </c>
      <c r="BA10">
        <f>43.19755459</f>
        <v>43.197554590000003</v>
      </c>
      <c r="BB10">
        <f>41.79663807</f>
        <v>41.79663807</v>
      </c>
      <c r="BC10">
        <f>40.55247853</f>
        <v>40.552478530000002</v>
      </c>
      <c r="BD10">
        <f>40.1500371</f>
        <v>40.150037099999999</v>
      </c>
      <c r="BE10">
        <f>38.07097078</f>
        <v>38.070970780000003</v>
      </c>
      <c r="BF10">
        <f>37.3406253</f>
        <v>37.340625299999999</v>
      </c>
      <c r="BG10">
        <f>36.60836495</f>
        <v>36.608364950000002</v>
      </c>
      <c r="BH10">
        <f>35.14821968</f>
        <v>35.148219679999997</v>
      </c>
      <c r="BI10">
        <f>34.6476016</f>
        <v>34.647601600000002</v>
      </c>
    </row>
    <row r="11" spans="1:61" x14ac:dyDescent="0.25">
      <c r="A11" t="str">
        <f>"    Passive % Of Non-Domestic Equity Funds"</f>
        <v xml:space="preserve">    Passive % Of Non-Domestic Equity Funds</v>
      </c>
      <c r="B11" t="str">
        <f>""</f>
        <v/>
      </c>
      <c r="E11" t="str">
        <f>"Expression"</f>
        <v>Expression</v>
      </c>
      <c r="F11">
        <f ca="1">IF(AND($B$74=1,LEN($F$42) * LEN($F$41)&gt;0),($F$42/$F$41)*100,HLOOKUP(INDIRECT(ADDRESS(2,COLUMN())),OFFSET($AH$2,0,0,ROW()-1,28),ROW()-1,FALSE))</f>
        <v>50.503501999999997</v>
      </c>
      <c r="G11">
        <f ca="1">IF(AND($B$74=1,LEN($G$42) * LEN($G$41)&gt;0),($G$42/$G$41)*100,HLOOKUP(INDIRECT(ADDRESS(2,COLUMN())),OFFSET($AH$2,0,0,ROW()-1,28),ROW()-1,FALSE))</f>
        <v>49.180853650000003</v>
      </c>
      <c r="H11">
        <f ca="1">IF(AND($B$74=1,LEN($H$42) * LEN($H$41)&gt;0),($H$42/$H$41)*100,HLOOKUP(INDIRECT(ADDRESS(2,COLUMN())),OFFSET($AH$2,0,0,ROW()-1,28),ROW()-1,FALSE))</f>
        <v>47.850298739999999</v>
      </c>
      <c r="I11">
        <f ca="1">IF(AND($B$74=1,LEN($I$42) * LEN($I$41)&gt;0),($I$42/$I$41)*100,HLOOKUP(INDIRECT(ADDRESS(2,COLUMN())),OFFSET($AH$2,0,0,ROW()-1,28),ROW()-1,FALSE))</f>
        <v>47.213646519999998</v>
      </c>
      <c r="J11">
        <f ca="1">IF(AND($B$74=1,LEN($J$42) * LEN($J$41)&gt;0),($J$42/$J$41)*100,HLOOKUP(INDIRECT(ADDRESS(2,COLUMN())),OFFSET($AH$2,0,0,ROW()-1,28),ROW()-1,FALSE))</f>
        <v>46.98137758</v>
      </c>
      <c r="K11">
        <f ca="1">IF(AND($B$74=1,LEN($K$42) * LEN($K$41)&gt;0),($K$42/$K$41)*100,HLOOKUP(INDIRECT(ADDRESS(2,COLUMN())),OFFSET($AH$2,0,0,ROW()-1,28),ROW()-1,FALSE))</f>
        <v>46.205745110000002</v>
      </c>
      <c r="L11">
        <f ca="1">IF(AND($B$74=1,LEN($L$42) * LEN($L$41)&gt;0),($L$42/$L$41)*100,HLOOKUP(INDIRECT(ADDRESS(2,COLUMN())),OFFSET($AH$2,0,0,ROW()-1,28),ROW()-1,FALSE))</f>
        <v>46.06725041</v>
      </c>
      <c r="M11">
        <f ca="1">IF(AND($B$74=1,LEN($M$42) * LEN($M$41)&gt;0),($M$42/$M$41)*100,HLOOKUP(INDIRECT(ADDRESS(2,COLUMN())),OFFSET($AH$2,0,0,ROW()-1,28),ROW()-1,FALSE))</f>
        <v>44.753115700000002</v>
      </c>
      <c r="N11">
        <f ca="1">IF(AND($B$74=1,LEN($N$42) * LEN($N$41)&gt;0),($N$42/$N$41)*100,HLOOKUP(INDIRECT(ADDRESS(2,COLUMN())),OFFSET($AH$2,0,0,ROW()-1,28),ROW()-1,FALSE))</f>
        <v>42.887222059999999</v>
      </c>
      <c r="O11">
        <f ca="1">IF(AND($B$74=1,LEN($O$42) * LEN($O$41)&gt;0),($O$42/$O$41)*100,HLOOKUP(INDIRECT(ADDRESS(2,COLUMN())),OFFSET($AH$2,0,0,ROW()-1,28),ROW()-1,FALSE))</f>
        <v>41.89983573</v>
      </c>
      <c r="P11">
        <f ca="1">IF(AND($B$74=1,LEN($P$42) * LEN($P$41)&gt;0),($P$42/$P$41)*100,HLOOKUP(INDIRECT(ADDRESS(2,COLUMN())),OFFSET($AH$2,0,0,ROW()-1,28),ROW()-1,FALSE))</f>
        <v>41.17471175</v>
      </c>
      <c r="Q11">
        <f ca="1">IF(AND($B$74=1,LEN($Q$42) * LEN($Q$41)&gt;0),($Q$42/$Q$41)*100,HLOOKUP(INDIRECT(ADDRESS(2,COLUMN())),OFFSET($AH$2,0,0,ROW()-1,28),ROW()-1,FALSE))</f>
        <v>41.335169200000003</v>
      </c>
      <c r="R11">
        <f ca="1">IF(AND($B$74=1,LEN($R$42) * LEN($R$41)&gt;0),($R$42/$R$41)*100,HLOOKUP(INDIRECT(ADDRESS(2,COLUMN())),OFFSET($AH$2,0,0,ROW()-1,28),ROW()-1,FALSE))</f>
        <v>41.931891</v>
      </c>
      <c r="S11">
        <f ca="1">IF(AND($B$74=1,LEN($S$42) * LEN($S$41)&gt;0),($S$42/$S$41)*100,HLOOKUP(INDIRECT(ADDRESS(2,COLUMN())),OFFSET($AH$2,0,0,ROW()-1,28),ROW()-1,FALSE))</f>
        <v>42.279469640000002</v>
      </c>
      <c r="T11">
        <f ca="1">IF(AND($B$74=1,LEN($T$42) * LEN($T$41)&gt;0),($T$42/$T$41)*100,HLOOKUP(INDIRECT(ADDRESS(2,COLUMN())),OFFSET($AH$2,0,0,ROW()-1,28),ROW()-1,FALSE))</f>
        <v>41.815124570000002</v>
      </c>
      <c r="U11">
        <f ca="1">IF(AND($B$74=1,LEN($U$42) * LEN($U$41)&gt;0),($U$42/$U$41)*100,HLOOKUP(INDIRECT(ADDRESS(2,COLUMN())),OFFSET($AH$2,0,0,ROW()-1,28),ROW()-1,FALSE))</f>
        <v>38.740654409999998</v>
      </c>
      <c r="V11">
        <f ca="1">IF(AND($B$74=1,LEN($V$42) * LEN($V$41)&gt;0),($V$42/$V$41)*100,HLOOKUP(INDIRECT(ADDRESS(2,COLUMN())),OFFSET($AH$2,0,0,ROW()-1,28),ROW()-1,FALSE))</f>
        <v>38.363706999999998</v>
      </c>
      <c r="W11">
        <f ca="1">IF(AND($B$74=1,LEN($W$42) * LEN($W$41)&gt;0),($W$42/$W$41)*100,HLOOKUP(INDIRECT(ADDRESS(2,COLUMN())),OFFSET($AH$2,0,0,ROW()-1,28),ROW()-1,FALSE))</f>
        <v>36.722085790000001</v>
      </c>
      <c r="X11">
        <f ca="1">IF(AND($B$74=1,LEN($X$42) * LEN($X$41)&gt;0),($X$42/$X$41)*100,HLOOKUP(INDIRECT(ADDRESS(2,COLUMN())),OFFSET($AH$2,0,0,ROW()-1,28),ROW()-1,FALSE))</f>
        <v>33.872179639999999</v>
      </c>
      <c r="Y11">
        <f ca="1">IF(AND($B$74=1,LEN($Y$42) * LEN($Y$41)&gt;0),($Y$42/$Y$41)*100,HLOOKUP(INDIRECT(ADDRESS(2,COLUMN())),OFFSET($AH$2,0,0,ROW()-1,28),ROW()-1,FALSE))</f>
        <v>32.269580509999997</v>
      </c>
      <c r="Z11">
        <f ca="1">IF(AND($B$74=1,LEN($Z$42) * LEN($Z$41)&gt;0),($Z$42/$Z$41)*100,HLOOKUP(INDIRECT(ADDRESS(2,COLUMN())),OFFSET($AH$2,0,0,ROW()-1,28),ROW()-1,FALSE))</f>
        <v>31.853250859999999</v>
      </c>
      <c r="AA11">
        <f ca="1">IF(AND($B$74=1,LEN($AA$42) * LEN($AA$41)&gt;0),($AA$42/$AA$41)*100,HLOOKUP(INDIRECT(ADDRESS(2,COLUMN())),OFFSET($AH$2,0,0,ROW()-1,28),ROW()-1,FALSE))</f>
        <v>30.773960379999998</v>
      </c>
      <c r="AB11">
        <f ca="1">IF(AND($B$74=1,LEN($AB$42) * LEN($AB$41)&gt;0),($AB$42/$AB$41)*100,HLOOKUP(INDIRECT(ADDRESS(2,COLUMN())),OFFSET($AH$2,0,0,ROW()-1,28),ROW()-1,FALSE))</f>
        <v>27.828768759999999</v>
      </c>
      <c r="AC11">
        <f ca="1">IF(AND($B$74=1,LEN($AC$42) * LEN($AC$41)&gt;0),($AC$42/$AC$41)*100,HLOOKUP(INDIRECT(ADDRESS(2,COLUMN())),OFFSET($AH$2,0,0,ROW()-1,28),ROW()-1,FALSE))</f>
        <v>27.454986760000001</v>
      </c>
      <c r="AD11">
        <f ca="1">IF(AND($B$74=1,LEN($AD$42) * LEN($AD$41)&gt;0),($AD$42/$AD$41)*100,HLOOKUP(INDIRECT(ADDRESS(2,COLUMN())),OFFSET($AH$2,0,0,ROW()-1,28),ROW()-1,FALSE))</f>
        <v>26.847736579999999</v>
      </c>
      <c r="AE11">
        <f ca="1">IF(AND($B$74=1,LEN($AE$42) * LEN($AE$41)&gt;0),($AE$42/$AE$41)*100,HLOOKUP(INDIRECT(ADDRESS(2,COLUMN())),OFFSET($AH$2,0,0,ROW()-1,28),ROW()-1,FALSE))</f>
        <v>26.284888200000001</v>
      </c>
      <c r="AF11">
        <f ca="1">IF(AND($B$74=1,LEN($AF$42) * LEN($AF$41)&gt;0),($AF$42/$AF$41)*100,HLOOKUP(INDIRECT(ADDRESS(2,COLUMN())),OFFSET($AH$2,0,0,ROW()-1,28),ROW()-1,FALSE))</f>
        <v>28.061589359999999</v>
      </c>
      <c r="AG11">
        <f ca="1">IF(AND($B$74=1,LEN($AG$42) * LEN($AG$41)&gt;0),($AG$42/$AG$41)*100,HLOOKUP(INDIRECT(ADDRESS(2,COLUMN())),OFFSET($AH$2,0,0,ROW()-1,28),ROW()-1,FALSE))</f>
        <v>26.117961139999998</v>
      </c>
      <c r="AH11">
        <f>50.503502</f>
        <v>50.503501999999997</v>
      </c>
      <c r="AI11">
        <f>49.18085365</f>
        <v>49.180853650000003</v>
      </c>
      <c r="AJ11">
        <f>47.85029874</f>
        <v>47.850298739999999</v>
      </c>
      <c r="AK11">
        <f>47.21364652</f>
        <v>47.213646519999998</v>
      </c>
      <c r="AL11">
        <f>46.98137758</f>
        <v>46.98137758</v>
      </c>
      <c r="AM11">
        <f>46.20574511</f>
        <v>46.205745110000002</v>
      </c>
      <c r="AN11">
        <f>46.06725041</f>
        <v>46.06725041</v>
      </c>
      <c r="AO11">
        <f>44.7531157</f>
        <v>44.753115700000002</v>
      </c>
      <c r="AP11">
        <f>42.88722206</f>
        <v>42.887222059999999</v>
      </c>
      <c r="AQ11">
        <f>41.89983573</f>
        <v>41.89983573</v>
      </c>
      <c r="AR11">
        <f>41.17471175</f>
        <v>41.17471175</v>
      </c>
      <c r="AS11">
        <f>41.3351692</f>
        <v>41.335169200000003</v>
      </c>
      <c r="AT11">
        <f>41.931891</f>
        <v>41.931891</v>
      </c>
      <c r="AU11">
        <f>42.27946964</f>
        <v>42.279469640000002</v>
      </c>
      <c r="AV11">
        <f>41.81512457</f>
        <v>41.815124570000002</v>
      </c>
      <c r="AW11">
        <f>38.74065441</f>
        <v>38.740654409999998</v>
      </c>
      <c r="AX11">
        <f>38.363707</f>
        <v>38.363706999999998</v>
      </c>
      <c r="AY11">
        <f>36.72208579</f>
        <v>36.722085790000001</v>
      </c>
      <c r="AZ11">
        <f>33.87217964</f>
        <v>33.872179639999999</v>
      </c>
      <c r="BA11">
        <f>32.26958051</f>
        <v>32.269580509999997</v>
      </c>
      <c r="BB11">
        <f>31.85325086</f>
        <v>31.853250859999999</v>
      </c>
      <c r="BC11">
        <f>30.77396038</f>
        <v>30.773960379999998</v>
      </c>
      <c r="BD11">
        <f>27.82876876</f>
        <v>27.828768759999999</v>
      </c>
      <c r="BE11">
        <f>27.45498676</f>
        <v>27.454986760000001</v>
      </c>
      <c r="BF11">
        <f>26.84773658</f>
        <v>26.847736579999999</v>
      </c>
      <c r="BG11">
        <f>26.2848882</f>
        <v>26.284888200000001</v>
      </c>
      <c r="BH11">
        <f>28.06158936</f>
        <v>28.061589359999999</v>
      </c>
      <c r="BI11">
        <f>26.11796114</f>
        <v>26.117961139999998</v>
      </c>
    </row>
    <row r="12" spans="1:61" x14ac:dyDescent="0.25">
      <c r="A12" t="str">
        <f>"ETF &amp; Mutual fund AUM ($MM)"</f>
        <v>ETF &amp; Mutual fund AUM ($MM)</v>
      </c>
      <c r="B12" t="str">
        <f>""</f>
        <v/>
      </c>
      <c r="E12" t="str">
        <f>"Heading"</f>
        <v>Heading</v>
      </c>
      <c r="AH12" t="str">
        <f>""</f>
        <v/>
      </c>
      <c r="AI12" t="str">
        <f>""</f>
        <v/>
      </c>
      <c r="AJ12" t="str">
        <f>""</f>
        <v/>
      </c>
      <c r="AK12" t="str">
        <f>""</f>
        <v/>
      </c>
      <c r="AL12" t="str">
        <f>""</f>
        <v/>
      </c>
      <c r="AM12" t="str">
        <f>""</f>
        <v/>
      </c>
      <c r="AN12" t="str">
        <f>""</f>
        <v/>
      </c>
      <c r="AO12" t="str">
        <f>""</f>
        <v/>
      </c>
      <c r="AP12" t="str">
        <f>""</f>
        <v/>
      </c>
      <c r="AQ12" t="str">
        <f>""</f>
        <v/>
      </c>
      <c r="AR12" t="str">
        <f>""</f>
        <v/>
      </c>
      <c r="AS12" t="str">
        <f>""</f>
        <v/>
      </c>
      <c r="AT12" t="str">
        <f>""</f>
        <v/>
      </c>
      <c r="AU12" t="str">
        <f>""</f>
        <v/>
      </c>
      <c r="AV12" t="str">
        <f>""</f>
        <v/>
      </c>
      <c r="AW12" t="str">
        <f>""</f>
        <v/>
      </c>
      <c r="AX12" t="str">
        <f>""</f>
        <v/>
      </c>
      <c r="AY12" t="str">
        <f>""</f>
        <v/>
      </c>
      <c r="AZ12" t="str">
        <f>""</f>
        <v/>
      </c>
      <c r="BA12" t="str">
        <f>""</f>
        <v/>
      </c>
      <c r="BB12" t="str">
        <f>""</f>
        <v/>
      </c>
      <c r="BC12" t="str">
        <f>""</f>
        <v/>
      </c>
      <c r="BD12" t="str">
        <f>""</f>
        <v/>
      </c>
      <c r="BE12" t="str">
        <f>""</f>
        <v/>
      </c>
      <c r="BF12" t="str">
        <f>""</f>
        <v/>
      </c>
      <c r="BG12" t="str">
        <f>""</f>
        <v/>
      </c>
      <c r="BH12" t="str">
        <f>""</f>
        <v/>
      </c>
      <c r="BI12" t="str">
        <f>""</f>
        <v/>
      </c>
    </row>
    <row r="13" spans="1:61" x14ac:dyDescent="0.25">
      <c r="A13" t="str">
        <f>"    All ETFs &amp; Mutual Funds"</f>
        <v xml:space="preserve">    All ETFs &amp; Mutual Funds</v>
      </c>
      <c r="B13" t="str">
        <f>""</f>
        <v/>
      </c>
      <c r="E13" t="str">
        <f>"Sum"</f>
        <v>Sum</v>
      </c>
      <c r="F13">
        <f ca="1">IF(ISERROR(IF(SUM($F$14,$F$17) = 0, "", SUM($F$14,$F$17))), "", (IF(SUM($F$14,$F$17) = 0, "", SUM($F$14,$F$17))))</f>
        <v>35084700</v>
      </c>
      <c r="G13">
        <f ca="1">IF(ISERROR(IF(SUM($G$14,$G$17) = 0, "", SUM($G$14,$G$17))), "", (IF(SUM($G$14,$G$17) = 0, "", SUM($G$14,$G$17))))</f>
        <v>32637700</v>
      </c>
      <c r="H13">
        <f ca="1">IF(ISERROR(IF(SUM($H$14,$H$17) = 0, "", SUM($H$14,$H$17))), "", (IF(SUM($H$14,$H$17) = 0, "", SUM($H$14,$H$17))))</f>
        <v>30580600</v>
      </c>
      <c r="I13">
        <f ca="1">IF(ISERROR(IF(SUM($I$14,$I$17) = 0, "", SUM($I$14,$I$17))), "", (IF(SUM($I$14,$I$17) = 0, "", SUM($I$14,$I$17))))</f>
        <v>28836200</v>
      </c>
      <c r="J13">
        <f ca="1">IF(ISERROR(IF(SUM($J$14,$J$17) = 0, "", SUM($J$14,$J$17))), "", (IF(SUM($J$14,$J$17) = 0, "", SUM($J$14,$J$17))))</f>
        <v>26255600</v>
      </c>
      <c r="K13">
        <f ca="1">IF(ISERROR(IF(SUM($K$14,$K$17) = 0, "", SUM($K$14,$K$17))), "", (IF(SUM($K$14,$K$17) = 0, "", SUM($K$14,$K$17))))</f>
        <v>24675300</v>
      </c>
      <c r="L13">
        <f ca="1">IF(ISERROR(IF(SUM($L$14,$L$17) = 0, "", SUM($L$14,$L$17))), "", (IF(SUM($L$14,$L$17) = 0, "", SUM($L$14,$L$17))))</f>
        <v>22642900</v>
      </c>
      <c r="M13">
        <f ca="1">IF(ISERROR(IF(SUM($M$14,$M$17) = 0, "", SUM($M$14,$M$17))), "", (IF(SUM($M$14,$M$17) = 0, "", SUM($M$14,$M$17))))</f>
        <v>22719500</v>
      </c>
      <c r="N13">
        <f ca="1">IF(ISERROR(IF(SUM($N$14,$N$17) = 0, "", SUM($N$14,$N$17))), "", (IF(SUM($N$14,$N$17) = 0, "", SUM($N$14,$N$17))))</f>
        <v>27592600</v>
      </c>
      <c r="O13">
        <f ca="1">IF(ISERROR(IF(SUM($O$14,$O$17) = 0, "", SUM($O$14,$O$17))), "", (IF(SUM($O$14,$O$17) = 0, "", SUM($O$14,$O$17))))</f>
        <v>26256600</v>
      </c>
      <c r="P13">
        <f ca="1">IF(ISERROR(IF(SUM($P$14,$P$17) = 0, "", SUM($P$14,$P$17))), "", (IF(SUM($P$14,$P$17) = 0, "", SUM($P$14,$P$17))))</f>
        <v>23408700</v>
      </c>
      <c r="Q13">
        <f ca="1">IF(ISERROR(IF(SUM($Q$14,$Q$17) = 0, "", SUM($Q$14,$Q$17))), "", (IF(SUM($Q$14,$Q$17) = 0, "", SUM($Q$14,$Q$17))))</f>
        <v>19828130</v>
      </c>
      <c r="R13">
        <f ca="1">IF(ISERROR(IF(SUM($R$14,$R$17) = 0, "", SUM($R$14,$R$17))), "", (IF(SUM($R$14,$R$17) = 0, "", SUM($R$14,$R$17))))</f>
        <v>20340130</v>
      </c>
      <c r="S13">
        <f ca="1">IF(ISERROR(IF(SUM($S$14,$S$17) = 0, "", SUM($S$14,$S$17))), "", (IF(SUM($S$14,$S$17) = 0, "", SUM($S$14,$S$17))))</f>
        <v>18590680</v>
      </c>
      <c r="T13">
        <f ca="1">IF(ISERROR(IF(SUM($T$14,$T$17) = 0, "", SUM($T$14,$T$17))), "", (IF(SUM($T$14,$T$17) = 0, "", SUM($T$14,$T$17))))</f>
        <v>16331690</v>
      </c>
      <c r="U13">
        <f ca="1">IF(ISERROR(IF(SUM($U$14,$U$17) = 0, "", SUM($U$14,$U$17))), "", (IF(SUM($U$14,$U$17) = 0, "", SUM($U$14,$U$17))))</f>
        <v>17807800</v>
      </c>
      <c r="V13">
        <f ca="1">IF(ISERROR(IF(SUM($V$14,$V$17) = 0, "", SUM($V$14,$V$17))), "", (IF(SUM($V$14,$V$17) = 0, "", SUM($V$14,$V$17))))</f>
        <v>17409930</v>
      </c>
      <c r="W13">
        <f ca="1">IF(ISERROR(IF(SUM($W$14,$W$17) = 0, "", SUM($W$14,$W$17))), "", (IF(SUM($W$14,$W$17) = 0, "", SUM($W$14,$W$17))))</f>
        <v>15915490</v>
      </c>
      <c r="X13">
        <f ca="1">IF(ISERROR(IF(SUM($X$14,$X$17) = 0, "", SUM($X$14,$X$17))), "", (IF(SUM($X$14,$X$17) = 0, "", SUM($X$14,$X$17))))</f>
        <v>14324120</v>
      </c>
      <c r="Y13">
        <f ca="1">IF(ISERROR(IF(SUM($Y$14,$Y$17) = 0, "", SUM($Y$14,$Y$17))), "", (IF(SUM($Y$14,$Y$17) = 0, "", SUM($Y$14,$Y$17))))</f>
        <v>13640670</v>
      </c>
      <c r="Z13">
        <f ca="1">IF(ISERROR(IF(SUM($Z$14,$Z$17) = 0, "", SUM($Z$14,$Z$17))), "", (IF(SUM($Z$14,$Z$17) = 0, "", SUM($Z$14,$Z$17))))</f>
        <v>13029040</v>
      </c>
      <c r="AA13">
        <f ca="1">IF(ISERROR(IF(SUM($AA$14,$AA$17) = 0, "", SUM($AA$14,$AA$17))), "", (IF(SUM($AA$14,$AA$17) = 0, "", SUM($AA$14,$AA$17))))</f>
        <v>13543950</v>
      </c>
      <c r="AB13">
        <f ca="1">IF(ISERROR(IF(SUM($AB$14,$AB$17) = 0, "", SUM($AB$14,$AB$17))), "", (IF(SUM($AB$14,$AB$17) = 0, "", SUM($AB$14,$AB$17))))</f>
        <v>13019770</v>
      </c>
      <c r="AC13">
        <f ca="1">IF(ISERROR(IF(SUM($AC$14,$AC$17) = 0, "", SUM($AC$14,$AC$17))), "", (IF(SUM($AC$14,$AC$17) = 0, "", SUM($AC$14,$AC$17))))</f>
        <v>12902600</v>
      </c>
      <c r="AD13">
        <f ca="1">IF(ISERROR(IF(SUM($AD$14,$AD$17) = 0, "", SUM($AD$14,$AD$17))), "", (IF(SUM($AD$14,$AD$17) = 0, "", SUM($AD$14,$AD$17))))</f>
        <v>11805870</v>
      </c>
      <c r="AE13">
        <f ca="1">IF(ISERROR(IF(SUM($AE$14,$AE$17) = 0, "", SUM($AE$14,$AE$17))), "", (IF(SUM($AE$14,$AE$17) = 0, "", SUM($AE$14,$AE$17))))</f>
        <v>10582720</v>
      </c>
      <c r="AF13">
        <f ca="1">IF(ISERROR(IF(SUM($AF$14,$AF$17) = 0, "", SUM($AF$14,$AF$17))), "", (IF(SUM($AF$14,$AF$17) = 0, "", SUM($AF$14,$AF$17))))</f>
        <v>9709500</v>
      </c>
      <c r="AG13">
        <f ca="1">IF(ISERROR(IF(SUM($AG$14,$AG$17) = 0, "", SUM($AG$14,$AG$17))), "", (IF(SUM($AG$14,$AG$17) = 0, "", SUM($AG$14,$AG$17))))</f>
        <v>8871800</v>
      </c>
      <c r="AH13">
        <f>35084700</f>
        <v>35084700</v>
      </c>
      <c r="AI13">
        <f>32637700</f>
        <v>32637700</v>
      </c>
      <c r="AJ13">
        <f>30580600</f>
        <v>30580600</v>
      </c>
      <c r="AK13">
        <f>28836200</f>
        <v>28836200</v>
      </c>
      <c r="AL13">
        <f>26255600</f>
        <v>26255600</v>
      </c>
      <c r="AM13">
        <f>24675300</f>
        <v>24675300</v>
      </c>
      <c r="AN13">
        <f>22642900</f>
        <v>22642900</v>
      </c>
      <c r="AO13">
        <f>22719500</f>
        <v>22719500</v>
      </c>
      <c r="AP13">
        <f>27592600</f>
        <v>27592600</v>
      </c>
      <c r="AQ13">
        <f>26256600</f>
        <v>26256600</v>
      </c>
      <c r="AR13">
        <f>23408700</f>
        <v>23408700</v>
      </c>
      <c r="AS13">
        <f>19828130</f>
        <v>19828130</v>
      </c>
      <c r="AT13">
        <f>20340130</f>
        <v>20340130</v>
      </c>
      <c r="AU13">
        <f>18590680</f>
        <v>18590680</v>
      </c>
      <c r="AV13">
        <f>16331690</f>
        <v>16331690</v>
      </c>
      <c r="AW13">
        <f>17807800</f>
        <v>17807800</v>
      </c>
      <c r="AX13">
        <f>17409930</f>
        <v>17409930</v>
      </c>
      <c r="AY13">
        <f>15915490</f>
        <v>15915490</v>
      </c>
      <c r="AZ13">
        <f>14324120</f>
        <v>14324120</v>
      </c>
      <c r="BA13">
        <f>13640670</f>
        <v>13640670</v>
      </c>
      <c r="BB13">
        <f>13029040</f>
        <v>13029040</v>
      </c>
      <c r="BC13">
        <f>13543950</f>
        <v>13543950</v>
      </c>
      <c r="BD13">
        <f>13019770</f>
        <v>13019770</v>
      </c>
      <c r="BE13">
        <f>12902600</f>
        <v>12902600</v>
      </c>
      <c r="BF13">
        <f>11805870</f>
        <v>11805870</v>
      </c>
      <c r="BG13">
        <f>10582720</f>
        <v>10582720</v>
      </c>
      <c r="BH13">
        <f>9709500</f>
        <v>9709500</v>
      </c>
      <c r="BI13">
        <f>8871800</f>
        <v>8871800</v>
      </c>
    </row>
    <row r="14" spans="1:61" x14ac:dyDescent="0.25">
      <c r="A14" t="str">
        <f>"        Passive Funds"</f>
        <v xml:space="preserve">        Passive Funds</v>
      </c>
      <c r="B14" t="str">
        <f>".BIATPTT G Index"</f>
        <v>.BIATPTT G Index</v>
      </c>
      <c r="C14" t="str">
        <f>"PR005"</f>
        <v>PR005</v>
      </c>
      <c r="D14" t="str">
        <f>"PX_LAST"</f>
        <v>PX_LAST</v>
      </c>
      <c r="E14" t="str">
        <f>"Dynamic"</f>
        <v>Dynamic</v>
      </c>
      <c r="F14">
        <f ca="1">IF(AND(ISNUMBER($F$78),$B$74=1),$F$78,HLOOKUP(INDIRECT(ADDRESS(2,COLUMN())),OFFSET($AH$2,0,0,ROW()-1,28),ROW()-1,FALSE))</f>
        <v>18974200</v>
      </c>
      <c r="G14">
        <f ca="1">IF(AND(ISNUMBER($G$78),$B$74=1),$G$78,HLOOKUP(INDIRECT(ADDRESS(2,COLUMN())),OFFSET($AH$2,0,0,ROW()-1,28),ROW()-1,FALSE))</f>
        <v>17442000</v>
      </c>
      <c r="H14">
        <f ca="1">IF(AND(ISNUMBER($H$78),$B$74=1),$H$78,HLOOKUP(INDIRECT(ADDRESS(2,COLUMN())),OFFSET($AH$2,0,0,ROW()-1,28),ROW()-1,FALSE))</f>
        <v>16097200</v>
      </c>
      <c r="I14">
        <f ca="1">IF(AND(ISNUMBER($I$78),$B$74=1),$I$78,HLOOKUP(INDIRECT(ADDRESS(2,COLUMN())),OFFSET($AH$2,0,0,ROW()-1,28),ROW()-1,FALSE))</f>
        <v>14743000</v>
      </c>
      <c r="J14">
        <f ca="1">IF(AND(ISNUMBER($J$78),$B$74=1),$J$78,HLOOKUP(INDIRECT(ADDRESS(2,COLUMN())),OFFSET($AH$2,0,0,ROW()-1,28),ROW()-1,FALSE))</f>
        <v>13163700</v>
      </c>
      <c r="K14">
        <f ca="1">IF(AND(ISNUMBER($K$78),$B$74=1),$K$78,HLOOKUP(INDIRECT(ADDRESS(2,COLUMN())),OFFSET($AH$2,0,0,ROW()-1,28),ROW()-1,FALSE))</f>
        <v>12079400</v>
      </c>
      <c r="L14">
        <f ca="1">IF(AND(ISNUMBER($L$78),$B$74=1),$L$78,HLOOKUP(INDIRECT(ADDRESS(2,COLUMN())),OFFSET($AH$2,0,0,ROW()-1,28),ROW()-1,FALSE))</f>
        <v>10860600</v>
      </c>
      <c r="M14">
        <f ca="1">IF(AND(ISNUMBER($M$78),$B$74=1),$M$78,HLOOKUP(INDIRECT(ADDRESS(2,COLUMN())),OFFSET($AH$2,0,0,ROW()-1,28),ROW()-1,FALSE))</f>
        <v>10542800</v>
      </c>
      <c r="N14">
        <f ca="1">IF(AND(ISNUMBER($N$78),$B$74=1),$N$78,HLOOKUP(INDIRECT(ADDRESS(2,COLUMN())),OFFSET($AH$2,0,0,ROW()-1,28),ROW()-1,FALSE))</f>
        <v>12507300</v>
      </c>
      <c r="O14">
        <f ca="1">IF(AND(ISNUMBER($O$78),$B$74=1),$O$78,HLOOKUP(INDIRECT(ADDRESS(2,COLUMN())),OFFSET($AH$2,0,0,ROW()-1,28),ROW()-1,FALSE))</f>
        <v>11521000</v>
      </c>
      <c r="P14">
        <f ca="1">IF(AND(ISNUMBER($P$78),$B$74=1),$P$78,HLOOKUP(INDIRECT(ADDRESS(2,COLUMN())),OFFSET($AH$2,0,0,ROW()-1,28),ROW()-1,FALSE))</f>
        <v>10017000</v>
      </c>
      <c r="Q14">
        <f ca="1">IF(AND(ISNUMBER($Q$78),$B$74=1),$Q$78,HLOOKUP(INDIRECT(ADDRESS(2,COLUMN())),OFFSET($AH$2,0,0,ROW()-1,28),ROW()-1,FALSE))</f>
        <v>8284230</v>
      </c>
      <c r="R14">
        <f ca="1">IF(AND(ISNUMBER($R$78),$B$74=1),$R$78,HLOOKUP(INDIRECT(ADDRESS(2,COLUMN())),OFFSET($AH$2,0,0,ROW()-1,28),ROW()-1,FALSE))</f>
        <v>8462530</v>
      </c>
      <c r="S14">
        <f ca="1">IF(AND(ISNUMBER($S$78),$B$74=1),$S$78,HLOOKUP(INDIRECT(ADDRESS(2,COLUMN())),OFFSET($AH$2,0,0,ROW()-1,28),ROW()-1,FALSE))</f>
        <v>7656780</v>
      </c>
      <c r="T14">
        <f ca="1">IF(AND(ISNUMBER($T$78),$B$74=1),$T$78,HLOOKUP(INDIRECT(ADDRESS(2,COLUMN())),OFFSET($AH$2,0,0,ROW()-1,28),ROW()-1,FALSE))</f>
        <v>6506890</v>
      </c>
      <c r="U14">
        <f ca="1">IF(AND(ISNUMBER($U$78),$B$74=1),$U$78,HLOOKUP(INDIRECT(ADDRESS(2,COLUMN())),OFFSET($AH$2,0,0,ROW()-1,28),ROW()-1,FALSE))</f>
        <v>6806800</v>
      </c>
      <c r="V14">
        <f ca="1">IF(AND(ISNUMBER($V$78),$B$74=1),$V$78,HLOOKUP(INDIRECT(ADDRESS(2,COLUMN())),OFFSET($AH$2,0,0,ROW()-1,28),ROW()-1,FALSE))</f>
        <v>6572430</v>
      </c>
      <c r="W14">
        <f ca="1">IF(AND(ISNUMBER($W$78),$B$74=1),$W$78,HLOOKUP(INDIRECT(ADDRESS(2,COLUMN())),OFFSET($AH$2,0,0,ROW()-1,28),ROW()-1,FALSE))</f>
        <v>5733790</v>
      </c>
      <c r="X14">
        <f ca="1">IF(AND(ISNUMBER($X$78),$B$74=1),$X$78,HLOOKUP(INDIRECT(ADDRESS(2,COLUMN())),OFFSET($AH$2,0,0,ROW()-1,28),ROW()-1,FALSE))</f>
        <v>4920680</v>
      </c>
      <c r="Y14">
        <f ca="1">IF(AND(ISNUMBER($Y$78),$B$74=1),$Y$78,HLOOKUP(INDIRECT(ADDRESS(2,COLUMN())),OFFSET($AH$2,0,0,ROW()-1,28),ROW()-1,FALSE))</f>
        <v>4433920</v>
      </c>
      <c r="Z14">
        <f ca="1">IF(AND(ISNUMBER($Z$78),$B$74=1),$Z$78,HLOOKUP(INDIRECT(ADDRESS(2,COLUMN())),OFFSET($AH$2,0,0,ROW()-1,28),ROW()-1,FALSE))</f>
        <v>4092380</v>
      </c>
      <c r="AA14">
        <f ca="1">IF(AND(ISNUMBER($AA$78),$B$74=1),$AA$78,HLOOKUP(INDIRECT(ADDRESS(2,COLUMN())),OFFSET($AH$2,0,0,ROW()-1,28),ROW()-1,FALSE))</f>
        <v>4119720</v>
      </c>
      <c r="AB14">
        <f ca="1">IF(AND(ISNUMBER($AB$78),$B$74=1),$AB$78,HLOOKUP(INDIRECT(ADDRESS(2,COLUMN())),OFFSET($AH$2,0,0,ROW()-1,28),ROW()-1,FALSE))</f>
        <v>3831310</v>
      </c>
      <c r="AC14">
        <f ca="1">IF(AND(ISNUMBER($AC$78),$B$74=1),$AC$78,HLOOKUP(INDIRECT(ADDRESS(2,COLUMN())),OFFSET($AH$2,0,0,ROW()-1,28),ROW()-1,FALSE))</f>
        <v>3575580</v>
      </c>
      <c r="AD14">
        <f ca="1">IF(AND(ISNUMBER($AD$78),$B$74=1),$AD$78,HLOOKUP(INDIRECT(ADDRESS(2,COLUMN())),OFFSET($AH$2,0,0,ROW()-1,28),ROW()-1,FALSE))</f>
        <v>3214070</v>
      </c>
      <c r="AE14">
        <f ca="1">IF(AND(ISNUMBER($AE$78),$B$74=1),$AE$78,HLOOKUP(INDIRECT(ADDRESS(2,COLUMN())),OFFSET($AH$2,0,0,ROW()-1,28),ROW()-1,FALSE))</f>
        <v>2761560</v>
      </c>
      <c r="AF14">
        <f ca="1">IF(AND(ISNUMBER($AF$78),$B$74=1),$AF$78,HLOOKUP(INDIRECT(ADDRESS(2,COLUMN())),OFFSET($AH$2,0,0,ROW()-1,28),ROW()-1,FALSE))</f>
        <v>2474180</v>
      </c>
      <c r="AG14">
        <f ca="1">IF(AND(ISNUMBER($AG$78),$B$74=1),$AG$78,HLOOKUP(INDIRECT(ADDRESS(2,COLUMN())),OFFSET($AH$2,0,0,ROW()-1,28),ROW()-1,FALSE))</f>
        <v>2219700</v>
      </c>
      <c r="AH14">
        <f>18974200</f>
        <v>18974200</v>
      </c>
      <c r="AI14">
        <f>17442000</f>
        <v>17442000</v>
      </c>
      <c r="AJ14">
        <f>16097200</f>
        <v>16097200</v>
      </c>
      <c r="AK14">
        <f>14743000</f>
        <v>14743000</v>
      </c>
      <c r="AL14">
        <f>13163700</f>
        <v>13163700</v>
      </c>
      <c r="AM14">
        <f>12079400</f>
        <v>12079400</v>
      </c>
      <c r="AN14">
        <f>10860600</f>
        <v>10860600</v>
      </c>
      <c r="AO14">
        <f>10542800</f>
        <v>10542800</v>
      </c>
      <c r="AP14">
        <f>12507300</f>
        <v>12507300</v>
      </c>
      <c r="AQ14">
        <f>11521000</f>
        <v>11521000</v>
      </c>
      <c r="AR14">
        <f>10017000</f>
        <v>10017000</v>
      </c>
      <c r="AS14">
        <f>8284230</f>
        <v>8284230</v>
      </c>
      <c r="AT14">
        <f>8462530</f>
        <v>8462530</v>
      </c>
      <c r="AU14">
        <f>7656780</f>
        <v>7656780</v>
      </c>
      <c r="AV14">
        <f>6506890</f>
        <v>6506890</v>
      </c>
      <c r="AW14">
        <f>6806800</f>
        <v>6806800</v>
      </c>
      <c r="AX14">
        <f>6572430</f>
        <v>6572430</v>
      </c>
      <c r="AY14">
        <f>5733790</f>
        <v>5733790</v>
      </c>
      <c r="AZ14">
        <f>4920680</f>
        <v>4920680</v>
      </c>
      <c r="BA14">
        <f>4433920</f>
        <v>4433920</v>
      </c>
      <c r="BB14">
        <f>4092380</f>
        <v>4092380</v>
      </c>
      <c r="BC14">
        <f>4119720</f>
        <v>4119720</v>
      </c>
      <c r="BD14">
        <f>3831310</f>
        <v>3831310</v>
      </c>
      <c r="BE14">
        <f>3575580</f>
        <v>3575580</v>
      </c>
      <c r="BF14">
        <f>3214070</f>
        <v>3214070</v>
      </c>
      <c r="BG14">
        <f>2761560</f>
        <v>2761560</v>
      </c>
      <c r="BH14">
        <f>2474180</f>
        <v>2474180</v>
      </c>
      <c r="BI14">
        <f>2219700</f>
        <v>2219700</v>
      </c>
    </row>
    <row r="15" spans="1:61" x14ac:dyDescent="0.25">
      <c r="A15" t="str">
        <f>"            Passive Mutual Funds"</f>
        <v xml:space="preserve">            Passive Mutual Funds</v>
      </c>
      <c r="B15" t="str">
        <f>".BIAMPTT G Index"</f>
        <v>.BIAMPTT G Index</v>
      </c>
      <c r="C15" t="str">
        <f>"PR005"</f>
        <v>PR005</v>
      </c>
      <c r="D15" t="str">
        <f>"PX_LAST"</f>
        <v>PX_LAST</v>
      </c>
      <c r="E15" t="str">
        <f>"Dynamic"</f>
        <v>Dynamic</v>
      </c>
      <c r="F15">
        <f ca="1">IF(AND(ISNUMBER($F$79),$B$74=1),$F$79,HLOOKUP(INDIRECT(ADDRESS(2,COLUMN())),OFFSET($AH$2,0,0,ROW()-1,28),ROW()-1,FALSE))</f>
        <v>7353540</v>
      </c>
      <c r="G15">
        <f ca="1">IF(AND(ISNUMBER($G$79),$B$74=1),$G$79,HLOOKUP(INDIRECT(ADDRESS(2,COLUMN())),OFFSET($AH$2,0,0,ROW()-1,28),ROW()-1,FALSE))</f>
        <v>7058640</v>
      </c>
      <c r="H15">
        <f ca="1">IF(AND(ISNUMBER($H$79),$B$74=1),$H$79,HLOOKUP(INDIRECT(ADDRESS(2,COLUMN())),OFFSET($AH$2,0,0,ROW()-1,28),ROW()-1,FALSE))</f>
        <v>6612880</v>
      </c>
      <c r="I15">
        <f ca="1">IF(AND(ISNUMBER($I$79),$B$74=1),$I$79,HLOOKUP(INDIRECT(ADDRESS(2,COLUMN())),OFFSET($AH$2,0,0,ROW()-1,28),ROW()-1,FALSE))</f>
        <v>6213380</v>
      </c>
      <c r="J15">
        <f ca="1">IF(AND(ISNUMBER($J$79),$B$74=1),$J$79,HLOOKUP(INDIRECT(ADDRESS(2,COLUMN())),OFFSET($AH$2,0,0,ROW()-1,28),ROW()-1,FALSE))</f>
        <v>5605390</v>
      </c>
      <c r="K15">
        <f ca="1">IF(AND(ISNUMBER($K$79),$B$74=1),$K$79,HLOOKUP(INDIRECT(ADDRESS(2,COLUMN())),OFFSET($AH$2,0,0,ROW()-1,28),ROW()-1,FALSE))</f>
        <v>5213990</v>
      </c>
      <c r="L15">
        <f ca="1">IF(AND(ISNUMBER($L$79),$B$74=1),$L$79,HLOOKUP(INDIRECT(ADDRESS(2,COLUMN())),OFFSET($AH$2,0,0,ROW()-1,28),ROW()-1,FALSE))</f>
        <v>4692710</v>
      </c>
      <c r="M15">
        <f ca="1">IF(AND(ISNUMBER($M$79),$B$74=1),$M$79,HLOOKUP(INDIRECT(ADDRESS(2,COLUMN())),OFFSET($AH$2,0,0,ROW()-1,28),ROW()-1,FALSE))</f>
        <v>4634540</v>
      </c>
      <c r="N15">
        <f ca="1">IF(AND(ISNUMBER($N$79),$B$74=1),$N$79,HLOOKUP(INDIRECT(ADDRESS(2,COLUMN())),OFFSET($AH$2,0,0,ROW()-1,28),ROW()-1,FALSE))</f>
        <v>5630760</v>
      </c>
      <c r="O15">
        <f ca="1">IF(AND(ISNUMBER($O$79),$B$74=1),$O$79,HLOOKUP(INDIRECT(ADDRESS(2,COLUMN())),OFFSET($AH$2,0,0,ROW()-1,28),ROW()-1,FALSE))</f>
        <v>5257020</v>
      </c>
      <c r="P15">
        <f ca="1">IF(AND(ISNUMBER($P$79),$B$74=1),$P$79,HLOOKUP(INDIRECT(ADDRESS(2,COLUMN())),OFFSET($AH$2,0,0,ROW()-1,28),ROW()-1,FALSE))</f>
        <v>4687590</v>
      </c>
      <c r="Q15">
        <f ca="1">IF(AND(ISNUMBER($Q$79),$B$74=1),$Q$79,HLOOKUP(INDIRECT(ADDRESS(2,COLUMN())),OFFSET($AH$2,0,0,ROW()-1,28),ROW()-1,FALSE))</f>
        <v>3999840</v>
      </c>
      <c r="R15">
        <f ca="1">IF(AND(ISNUMBER($R$79),$B$74=1),$R$79,HLOOKUP(INDIRECT(ADDRESS(2,COLUMN())),OFFSET($AH$2,0,0,ROW()-1,28),ROW()-1,FALSE))</f>
        <v>4144870</v>
      </c>
      <c r="S15">
        <f ca="1">IF(AND(ISNUMBER($S$79),$B$74=1),$S$79,HLOOKUP(INDIRECT(ADDRESS(2,COLUMN())),OFFSET($AH$2,0,0,ROW()-1,28),ROW()-1,FALSE))</f>
        <v>3786900</v>
      </c>
      <c r="T15">
        <f ca="1">IF(AND(ISNUMBER($T$79),$B$74=1),$T$79,HLOOKUP(INDIRECT(ADDRESS(2,COLUMN())),OFFSET($AH$2,0,0,ROW()-1,28),ROW()-1,FALSE))</f>
        <v>3182710</v>
      </c>
      <c r="U15">
        <f ca="1">IF(AND(ISNUMBER($U$79),$B$74=1),$U$79,HLOOKUP(INDIRECT(ADDRESS(2,COLUMN())),OFFSET($AH$2,0,0,ROW()-1,28),ROW()-1,FALSE))</f>
        <v>3331210</v>
      </c>
      <c r="V15">
        <f ca="1">IF(AND(ISNUMBER($V$79),$B$74=1),$V$79,HLOOKUP(INDIRECT(ADDRESS(2,COLUMN())),OFFSET($AH$2,0,0,ROW()-1,28),ROW()-1,FALSE))</f>
        <v>3184940</v>
      </c>
      <c r="W15">
        <f ca="1">IF(AND(ISNUMBER($W$79),$B$74=1),$W$79,HLOOKUP(INDIRECT(ADDRESS(2,COLUMN())),OFFSET($AH$2,0,0,ROW()-1,28),ROW()-1,FALSE))</f>
        <v>2822350</v>
      </c>
      <c r="X15">
        <f ca="1">IF(AND(ISNUMBER($X$79),$B$74=1),$X$79,HLOOKUP(INDIRECT(ADDRESS(2,COLUMN())),OFFSET($AH$2,0,0,ROW()-1,28),ROW()-1,FALSE))</f>
        <v>2415390</v>
      </c>
      <c r="Y15">
        <f ca="1">IF(AND(ISNUMBER($Y$79),$B$74=1),$Y$79,HLOOKUP(INDIRECT(ADDRESS(2,COLUMN())),OFFSET($AH$2,0,0,ROW()-1,28),ROW()-1,FALSE))</f>
        <v>2227660</v>
      </c>
      <c r="Z15">
        <f ca="1">IF(AND(ISNUMBER($Z$79),$B$74=1),$Z$79,HLOOKUP(INDIRECT(ADDRESS(2,COLUMN())),OFFSET($AH$2,0,0,ROW()-1,28),ROW()-1,FALSE))</f>
        <v>2054650</v>
      </c>
      <c r="AA15">
        <f ca="1">IF(AND(ISNUMBER($AA$79),$B$74=1),$AA$79,HLOOKUP(INDIRECT(ADDRESS(2,COLUMN())),OFFSET($AH$2,0,0,ROW()-1,28),ROW()-1,FALSE))</f>
        <v>2042090</v>
      </c>
      <c r="AB15">
        <f ca="1">IF(AND(ISNUMBER($AB$79),$B$74=1),$AB$79,HLOOKUP(INDIRECT(ADDRESS(2,COLUMN())),OFFSET($AH$2,0,0,ROW()-1,28),ROW()-1,FALSE))</f>
        <v>1902020</v>
      </c>
      <c r="AC15">
        <f ca="1">IF(AND(ISNUMBER($AC$79),$B$74=1),$AC$79,HLOOKUP(INDIRECT(ADDRESS(2,COLUMN())),OFFSET($AH$2,0,0,ROW()-1,28),ROW()-1,FALSE))</f>
        <v>1772810</v>
      </c>
      <c r="AD15">
        <f ca="1">IF(AND(ISNUMBER($AD$79),$B$74=1),$AD$79,HLOOKUP(INDIRECT(ADDRESS(2,COLUMN())),OFFSET($AH$2,0,0,ROW()-1,28),ROW()-1,FALSE))</f>
        <v>1575100</v>
      </c>
      <c r="AE15">
        <f ca="1">IF(AND(ISNUMBER($AE$79),$B$74=1),$AE$79,HLOOKUP(INDIRECT(ADDRESS(2,COLUMN())),OFFSET($AH$2,0,0,ROW()-1,28),ROW()-1,FALSE))</f>
        <v>1349510</v>
      </c>
      <c r="AF15">
        <f ca="1">IF(AND(ISNUMBER($AF$79),$B$74=1),$AF$79,HLOOKUP(INDIRECT(ADDRESS(2,COLUMN())),OFFSET($AH$2,0,0,ROW()-1,28),ROW()-1,FALSE))</f>
        <v>1178570</v>
      </c>
      <c r="AG15">
        <f ca="1">IF(AND(ISNUMBER($AG$79),$B$74=1),$AG$79,HLOOKUP(INDIRECT(ADDRESS(2,COLUMN())),OFFSET($AH$2,0,0,ROW()-1,28),ROW()-1,FALSE))</f>
        <v>1073950</v>
      </c>
      <c r="AH15">
        <f>7353540</f>
        <v>7353540</v>
      </c>
      <c r="AI15">
        <f>7058640</f>
        <v>7058640</v>
      </c>
      <c r="AJ15">
        <f>6612880</f>
        <v>6612880</v>
      </c>
      <c r="AK15">
        <f>6213380</f>
        <v>6213380</v>
      </c>
      <c r="AL15">
        <f>5605390</f>
        <v>5605390</v>
      </c>
      <c r="AM15">
        <f>5213990</f>
        <v>5213990</v>
      </c>
      <c r="AN15">
        <f>4692710</f>
        <v>4692710</v>
      </c>
      <c r="AO15">
        <f>4634540</f>
        <v>4634540</v>
      </c>
      <c r="AP15">
        <f>5630760</f>
        <v>5630760</v>
      </c>
      <c r="AQ15">
        <f>5257020</f>
        <v>5257020</v>
      </c>
      <c r="AR15">
        <f>4687590</f>
        <v>4687590</v>
      </c>
      <c r="AS15">
        <f>3999840</f>
        <v>3999840</v>
      </c>
      <c r="AT15">
        <f>4144870</f>
        <v>4144870</v>
      </c>
      <c r="AU15">
        <f>3786900</f>
        <v>3786900</v>
      </c>
      <c r="AV15">
        <f>3182710</f>
        <v>3182710</v>
      </c>
      <c r="AW15">
        <f>3331210</f>
        <v>3331210</v>
      </c>
      <c r="AX15">
        <f>3184940</f>
        <v>3184940</v>
      </c>
      <c r="AY15">
        <f>2822350</f>
        <v>2822350</v>
      </c>
      <c r="AZ15">
        <f>2415390</f>
        <v>2415390</v>
      </c>
      <c r="BA15">
        <f>2227660</f>
        <v>2227660</v>
      </c>
      <c r="BB15">
        <f>2054650</f>
        <v>2054650</v>
      </c>
      <c r="BC15">
        <f>2042090</f>
        <v>2042090</v>
      </c>
      <c r="BD15">
        <f>1902020</f>
        <v>1902020</v>
      </c>
      <c r="BE15">
        <f>1772810</f>
        <v>1772810</v>
      </c>
      <c r="BF15">
        <f>1575100</f>
        <v>1575100</v>
      </c>
      <c r="BG15">
        <f>1349510</f>
        <v>1349510</v>
      </c>
      <c r="BH15">
        <f>1178570</f>
        <v>1178570</v>
      </c>
      <c r="BI15">
        <f>1073950</f>
        <v>1073950</v>
      </c>
    </row>
    <row r="16" spans="1:61" x14ac:dyDescent="0.25">
      <c r="A16" t="str">
        <f>"            Passive ETFs"</f>
        <v xml:space="preserve">            Passive ETFs</v>
      </c>
      <c r="B16" t="str">
        <f>""</f>
        <v/>
      </c>
      <c r="E16" t="str">
        <f>"Expression"</f>
        <v>Expression</v>
      </c>
      <c r="F16">
        <f ca="1">IF(AND($B$74=1,LEN($F$14) * LEN($F$15)&gt;0),$F$14-$F$15,HLOOKUP(INDIRECT(ADDRESS(2,COLUMN())),OFFSET($AH$2,0,0,ROW()-1,28),ROW()-1,FALSE))</f>
        <v>11620660</v>
      </c>
      <c r="G16">
        <f ca="1">IF(AND($B$74=1,LEN($G$14) * LEN($G$15)&gt;0),$G$14-$G$15,HLOOKUP(INDIRECT(ADDRESS(2,COLUMN())),OFFSET($AH$2,0,0,ROW()-1,28),ROW()-1,FALSE))</f>
        <v>10383360</v>
      </c>
      <c r="H16">
        <f ca="1">IF(AND($B$74=1,LEN($H$14) * LEN($H$15)&gt;0),$H$14-$H$15,HLOOKUP(INDIRECT(ADDRESS(2,COLUMN())),OFFSET($AH$2,0,0,ROW()-1,28),ROW()-1,FALSE))</f>
        <v>9484320</v>
      </c>
      <c r="I16">
        <f ca="1">IF(AND($B$74=1,LEN($I$14) * LEN($I$15)&gt;0),$I$14-$I$15,HLOOKUP(INDIRECT(ADDRESS(2,COLUMN())),OFFSET($AH$2,0,0,ROW()-1,28),ROW()-1,FALSE))</f>
        <v>8529620</v>
      </c>
      <c r="J16">
        <f ca="1">IF(AND($B$74=1,LEN($J$14) * LEN($J$15)&gt;0),$J$14-$J$15,HLOOKUP(INDIRECT(ADDRESS(2,COLUMN())),OFFSET($AH$2,0,0,ROW()-1,28),ROW()-1,FALSE))</f>
        <v>7558310</v>
      </c>
      <c r="K16">
        <f ca="1">IF(AND($B$74=1,LEN($K$14) * LEN($K$15)&gt;0),$K$14-$K$15,HLOOKUP(INDIRECT(ADDRESS(2,COLUMN())),OFFSET($AH$2,0,0,ROW()-1,28),ROW()-1,FALSE))</f>
        <v>6865410</v>
      </c>
      <c r="L16">
        <f ca="1">IF(AND($B$74=1,LEN($L$14) * LEN($L$15)&gt;0),$L$14-$L$15,HLOOKUP(INDIRECT(ADDRESS(2,COLUMN())),OFFSET($AH$2,0,0,ROW()-1,28),ROW()-1,FALSE))</f>
        <v>6167890</v>
      </c>
      <c r="M16">
        <f ca="1">IF(AND($B$74=1,LEN($M$14) * LEN($M$15)&gt;0),$M$14-$M$15,HLOOKUP(INDIRECT(ADDRESS(2,COLUMN())),OFFSET($AH$2,0,0,ROW()-1,28),ROW()-1,FALSE))</f>
        <v>5908260</v>
      </c>
      <c r="N16">
        <f ca="1">IF(AND($B$74=1,LEN($N$14) * LEN($N$15)&gt;0),$N$14-$N$15,HLOOKUP(INDIRECT(ADDRESS(2,COLUMN())),OFFSET($AH$2,0,0,ROW()-1,28),ROW()-1,FALSE))</f>
        <v>6876540</v>
      </c>
      <c r="O16">
        <f ca="1">IF(AND($B$74=1,LEN($O$14) * LEN($O$15)&gt;0),$O$14-$O$15,HLOOKUP(INDIRECT(ADDRESS(2,COLUMN())),OFFSET($AH$2,0,0,ROW()-1,28),ROW()-1,FALSE))</f>
        <v>6263980</v>
      </c>
      <c r="P16">
        <f ca="1">IF(AND($B$74=1,LEN($P$14) * LEN($P$15)&gt;0),$P$14-$P$15,HLOOKUP(INDIRECT(ADDRESS(2,COLUMN())),OFFSET($AH$2,0,0,ROW()-1,28),ROW()-1,FALSE))</f>
        <v>5329410</v>
      </c>
      <c r="Q16">
        <f ca="1">IF(AND($B$74=1,LEN($Q$14) * LEN($Q$15)&gt;0),$Q$14-$Q$15,HLOOKUP(INDIRECT(ADDRESS(2,COLUMN())),OFFSET($AH$2,0,0,ROW()-1,28),ROW()-1,FALSE))</f>
        <v>4284390</v>
      </c>
      <c r="R16">
        <f ca="1">IF(AND($B$74=1,LEN($R$14) * LEN($R$15)&gt;0),$R$14-$R$15,HLOOKUP(INDIRECT(ADDRESS(2,COLUMN())),OFFSET($AH$2,0,0,ROW()-1,28),ROW()-1,FALSE))</f>
        <v>4317660</v>
      </c>
      <c r="S16">
        <f ca="1">IF(AND($B$74=1,LEN($S$14) * LEN($S$15)&gt;0),$S$14-$S$15,HLOOKUP(INDIRECT(ADDRESS(2,COLUMN())),OFFSET($AH$2,0,0,ROW()-1,28),ROW()-1,FALSE))</f>
        <v>3869880</v>
      </c>
      <c r="T16">
        <f ca="1">IF(AND($B$74=1,LEN($T$14) * LEN($T$15)&gt;0),$T$14-$T$15,HLOOKUP(INDIRECT(ADDRESS(2,COLUMN())),OFFSET($AH$2,0,0,ROW()-1,28),ROW()-1,FALSE))</f>
        <v>3324180</v>
      </c>
      <c r="U16">
        <f ca="1">IF(AND($B$74=1,LEN($U$14) * LEN($U$15)&gt;0),$U$14-$U$15,HLOOKUP(INDIRECT(ADDRESS(2,COLUMN())),OFFSET($AH$2,0,0,ROW()-1,28),ROW()-1,FALSE))</f>
        <v>3475590</v>
      </c>
      <c r="V16">
        <f ca="1">IF(AND($B$74=1,LEN($V$14) * LEN($V$15)&gt;0),$V$14-$V$15,HLOOKUP(INDIRECT(ADDRESS(2,COLUMN())),OFFSET($AH$2,0,0,ROW()-1,28),ROW()-1,FALSE))</f>
        <v>3387490</v>
      </c>
      <c r="W16">
        <f ca="1">IF(AND($B$74=1,LEN($W$14) * LEN($W$15)&gt;0),$W$14-$W$15,HLOOKUP(INDIRECT(ADDRESS(2,COLUMN())),OFFSET($AH$2,0,0,ROW()-1,28),ROW()-1,FALSE))</f>
        <v>2911440</v>
      </c>
      <c r="X16">
        <f ca="1">IF(AND($B$74=1,LEN($X$14) * LEN($X$15)&gt;0),$X$14-$X$15,HLOOKUP(INDIRECT(ADDRESS(2,COLUMN())),OFFSET($AH$2,0,0,ROW()-1,28),ROW()-1,FALSE))</f>
        <v>2505290</v>
      </c>
      <c r="Y16">
        <f ca="1">IF(AND($B$74=1,LEN($Y$14) * LEN($Y$15)&gt;0),$Y$14-$Y$15,HLOOKUP(INDIRECT(ADDRESS(2,COLUMN())),OFFSET($AH$2,0,0,ROW()-1,28),ROW()-1,FALSE))</f>
        <v>2206260</v>
      </c>
      <c r="Z16">
        <f ca="1">IF(AND($B$74=1,LEN($Z$14) * LEN($Z$15)&gt;0),$Z$14-$Z$15,HLOOKUP(INDIRECT(ADDRESS(2,COLUMN())),OFFSET($AH$2,0,0,ROW()-1,28),ROW()-1,FALSE))</f>
        <v>2037730</v>
      </c>
      <c r="AA16">
        <f ca="1">IF(AND($B$74=1,LEN($AA$14) * LEN($AA$15)&gt;0),$AA$14-$AA$15,HLOOKUP(INDIRECT(ADDRESS(2,COLUMN())),OFFSET($AH$2,0,0,ROW()-1,28),ROW()-1,FALSE))</f>
        <v>2077630</v>
      </c>
      <c r="AB16">
        <f ca="1">IF(AND($B$74=1,LEN($AB$14) * LEN($AB$15)&gt;0),$AB$14-$AB$15,HLOOKUP(INDIRECT(ADDRESS(2,COLUMN())),OFFSET($AH$2,0,0,ROW()-1,28),ROW()-1,FALSE))</f>
        <v>1929290</v>
      </c>
      <c r="AC16">
        <f ca="1">IF(AND($B$74=1,LEN($AC$14) * LEN($AC$15)&gt;0),$AC$14-$AC$15,HLOOKUP(INDIRECT(ADDRESS(2,COLUMN())),OFFSET($AH$2,0,0,ROW()-1,28),ROW()-1,FALSE))</f>
        <v>1802770</v>
      </c>
      <c r="AD16">
        <f ca="1">IF(AND($B$74=1,LEN($AD$14) * LEN($AD$15)&gt;0),$AD$14-$AD$15,HLOOKUP(INDIRECT(ADDRESS(2,COLUMN())),OFFSET($AH$2,0,0,ROW()-1,28),ROW()-1,FALSE))</f>
        <v>1638970</v>
      </c>
      <c r="AE16">
        <f ca="1">IF(AND($B$74=1,LEN($AE$14) * LEN($AE$15)&gt;0),$AE$14-$AE$15,HLOOKUP(INDIRECT(ADDRESS(2,COLUMN())),OFFSET($AH$2,0,0,ROW()-1,28),ROW()-1,FALSE))</f>
        <v>1412050</v>
      </c>
      <c r="AF16">
        <f ca="1">IF(AND($B$74=1,LEN($AF$14) * LEN($AF$15)&gt;0),$AF$14-$AF$15,HLOOKUP(INDIRECT(ADDRESS(2,COLUMN())),OFFSET($AH$2,0,0,ROW()-1,28),ROW()-1,FALSE))</f>
        <v>1295610</v>
      </c>
      <c r="AG16">
        <f ca="1">IF(AND($B$74=1,LEN($AG$14) * LEN($AG$15)&gt;0),$AG$14-$AG$15,HLOOKUP(INDIRECT(ADDRESS(2,COLUMN())),OFFSET($AH$2,0,0,ROW()-1,28),ROW()-1,FALSE))</f>
        <v>1145750</v>
      </c>
      <c r="AH16">
        <f>11620660</f>
        <v>11620660</v>
      </c>
      <c r="AI16">
        <f>10383360</f>
        <v>10383360</v>
      </c>
      <c r="AJ16">
        <f>9484320</f>
        <v>9484320</v>
      </c>
      <c r="AK16">
        <f>8529620</f>
        <v>8529620</v>
      </c>
      <c r="AL16">
        <f>7558310</f>
        <v>7558310</v>
      </c>
      <c r="AM16">
        <f>6865410</f>
        <v>6865410</v>
      </c>
      <c r="AN16">
        <f>6167890</f>
        <v>6167890</v>
      </c>
      <c r="AO16">
        <f>5908260</f>
        <v>5908260</v>
      </c>
      <c r="AP16">
        <f>6876540</f>
        <v>6876540</v>
      </c>
      <c r="AQ16">
        <f>6263980</f>
        <v>6263980</v>
      </c>
      <c r="AR16">
        <f>5329410</f>
        <v>5329410</v>
      </c>
      <c r="AS16">
        <f>4284390</f>
        <v>4284390</v>
      </c>
      <c r="AT16">
        <f>4317660</f>
        <v>4317660</v>
      </c>
      <c r="AU16">
        <f>3869880</f>
        <v>3869880</v>
      </c>
      <c r="AV16">
        <f>3324180</f>
        <v>3324180</v>
      </c>
      <c r="AW16">
        <f>3475590</f>
        <v>3475590</v>
      </c>
      <c r="AX16">
        <f>3387490</f>
        <v>3387490</v>
      </c>
      <c r="AY16">
        <f>2911440</f>
        <v>2911440</v>
      </c>
      <c r="AZ16">
        <f>2505290</f>
        <v>2505290</v>
      </c>
      <c r="BA16">
        <f>2206260</f>
        <v>2206260</v>
      </c>
      <c r="BB16">
        <f>2037730</f>
        <v>2037730</v>
      </c>
      <c r="BC16">
        <f>2077630</f>
        <v>2077630</v>
      </c>
      <c r="BD16">
        <f>1929290</f>
        <v>1929290</v>
      </c>
      <c r="BE16">
        <f>1802770</f>
        <v>1802770</v>
      </c>
      <c r="BF16">
        <f>1638970</f>
        <v>1638970</v>
      </c>
      <c r="BG16">
        <f>1412050</f>
        <v>1412050</v>
      </c>
      <c r="BH16">
        <f>1295610</f>
        <v>1295610</v>
      </c>
      <c r="BI16">
        <f>1145750</f>
        <v>1145750</v>
      </c>
    </row>
    <row r="17" spans="1:61" x14ac:dyDescent="0.25">
      <c r="A17" t="str">
        <f>"        Active Funds"</f>
        <v xml:space="preserve">        Active Funds</v>
      </c>
      <c r="B17" t="str">
        <f>".BIATATT G Index"</f>
        <v>.BIATATT G Index</v>
      </c>
      <c r="C17" t="str">
        <f>"PR005"</f>
        <v>PR005</v>
      </c>
      <c r="D17" t="str">
        <f>"PX_LAST"</f>
        <v>PX_LAST</v>
      </c>
      <c r="E17" t="str">
        <f>"Dynamic"</f>
        <v>Dynamic</v>
      </c>
      <c r="F17">
        <f ca="1">IF(AND(ISNUMBER($F$80),$B$74=1),$F$80,HLOOKUP(INDIRECT(ADDRESS(2,COLUMN())),OFFSET($AH$2,0,0,ROW()-1,28),ROW()-1,FALSE))</f>
        <v>16110500</v>
      </c>
      <c r="G17">
        <f ca="1">IF(AND(ISNUMBER($G$80),$B$74=1),$G$80,HLOOKUP(INDIRECT(ADDRESS(2,COLUMN())),OFFSET($AH$2,0,0,ROW()-1,28),ROW()-1,FALSE))</f>
        <v>15195700</v>
      </c>
      <c r="H17">
        <f ca="1">IF(AND(ISNUMBER($H$80),$B$74=1),$H$80,HLOOKUP(INDIRECT(ADDRESS(2,COLUMN())),OFFSET($AH$2,0,0,ROW()-1,28),ROW()-1,FALSE))</f>
        <v>14483400</v>
      </c>
      <c r="I17">
        <f ca="1">IF(AND(ISNUMBER($I$80),$B$74=1),$I$80,HLOOKUP(INDIRECT(ADDRESS(2,COLUMN())),OFFSET($AH$2,0,0,ROW()-1,28),ROW()-1,FALSE))</f>
        <v>14093200</v>
      </c>
      <c r="J17">
        <f ca="1">IF(AND(ISNUMBER($J$80),$B$74=1),$J$80,HLOOKUP(INDIRECT(ADDRESS(2,COLUMN())),OFFSET($AH$2,0,0,ROW()-1,28),ROW()-1,FALSE))</f>
        <v>13091900</v>
      </c>
      <c r="K17">
        <f ca="1">IF(AND(ISNUMBER($K$80),$B$74=1),$K$80,HLOOKUP(INDIRECT(ADDRESS(2,COLUMN())),OFFSET($AH$2,0,0,ROW()-1,28),ROW()-1,FALSE))</f>
        <v>12595900</v>
      </c>
      <c r="L17">
        <f ca="1">IF(AND(ISNUMBER($L$80),$B$74=1),$L$80,HLOOKUP(INDIRECT(ADDRESS(2,COLUMN())),OFFSET($AH$2,0,0,ROW()-1,28),ROW()-1,FALSE))</f>
        <v>11782300</v>
      </c>
      <c r="M17">
        <f ca="1">IF(AND(ISNUMBER($M$80),$B$74=1),$M$80,HLOOKUP(INDIRECT(ADDRESS(2,COLUMN())),OFFSET($AH$2,0,0,ROW()-1,28),ROW()-1,FALSE))</f>
        <v>12176700</v>
      </c>
      <c r="N17">
        <f ca="1">IF(AND(ISNUMBER($N$80),$B$74=1),$N$80,HLOOKUP(INDIRECT(ADDRESS(2,COLUMN())),OFFSET($AH$2,0,0,ROW()-1,28),ROW()-1,FALSE))</f>
        <v>15085300</v>
      </c>
      <c r="O17">
        <f ca="1">IF(AND(ISNUMBER($O$80),$B$74=1),$O$80,HLOOKUP(INDIRECT(ADDRESS(2,COLUMN())),OFFSET($AH$2,0,0,ROW()-1,28),ROW()-1,FALSE))</f>
        <v>14735600</v>
      </c>
      <c r="P17">
        <f ca="1">IF(AND(ISNUMBER($P$80),$B$74=1),$P$80,HLOOKUP(INDIRECT(ADDRESS(2,COLUMN())),OFFSET($AH$2,0,0,ROW()-1,28),ROW()-1,FALSE))</f>
        <v>13391700</v>
      </c>
      <c r="Q17">
        <f ca="1">IF(AND(ISNUMBER($Q$80),$B$74=1),$Q$80,HLOOKUP(INDIRECT(ADDRESS(2,COLUMN())),OFFSET($AH$2,0,0,ROW()-1,28),ROW()-1,FALSE))</f>
        <v>11543900</v>
      </c>
      <c r="R17">
        <f ca="1">IF(AND(ISNUMBER($R$80),$B$74=1),$R$80,HLOOKUP(INDIRECT(ADDRESS(2,COLUMN())),OFFSET($AH$2,0,0,ROW()-1,28),ROW()-1,FALSE))</f>
        <v>11877600</v>
      </c>
      <c r="S17">
        <f ca="1">IF(AND(ISNUMBER($S$80),$B$74=1),$S$80,HLOOKUP(INDIRECT(ADDRESS(2,COLUMN())),OFFSET($AH$2,0,0,ROW()-1,28),ROW()-1,FALSE))</f>
        <v>10933900</v>
      </c>
      <c r="T17">
        <f ca="1">IF(AND(ISNUMBER($T$80),$B$74=1),$T$80,HLOOKUP(INDIRECT(ADDRESS(2,COLUMN())),OFFSET($AH$2,0,0,ROW()-1,28),ROW()-1,FALSE))</f>
        <v>9824800</v>
      </c>
      <c r="U17">
        <f ca="1">IF(AND(ISNUMBER($U$80),$B$74=1),$U$80,HLOOKUP(INDIRECT(ADDRESS(2,COLUMN())),OFFSET($AH$2,0,0,ROW()-1,28),ROW()-1,FALSE))</f>
        <v>11001000</v>
      </c>
      <c r="V17">
        <f ca="1">IF(AND(ISNUMBER($V$80),$B$74=1),$V$80,HLOOKUP(INDIRECT(ADDRESS(2,COLUMN())),OFFSET($AH$2,0,0,ROW()-1,28),ROW()-1,FALSE))</f>
        <v>10837500</v>
      </c>
      <c r="W17">
        <f ca="1">IF(AND(ISNUMBER($W$80),$B$74=1),$W$80,HLOOKUP(INDIRECT(ADDRESS(2,COLUMN())),OFFSET($AH$2,0,0,ROW()-1,28),ROW()-1,FALSE))</f>
        <v>10181700</v>
      </c>
      <c r="X17">
        <f ca="1">IF(AND(ISNUMBER($X$80),$B$74=1),$X$80,HLOOKUP(INDIRECT(ADDRESS(2,COLUMN())),OFFSET($AH$2,0,0,ROW()-1,28),ROW()-1,FALSE))</f>
        <v>9403440</v>
      </c>
      <c r="Y17">
        <f ca="1">IF(AND(ISNUMBER($Y$80),$B$74=1),$Y$80,HLOOKUP(INDIRECT(ADDRESS(2,COLUMN())),OFFSET($AH$2,0,0,ROW()-1,28),ROW()-1,FALSE))</f>
        <v>9206750</v>
      </c>
      <c r="Z17">
        <f ca="1">IF(AND(ISNUMBER($Z$80),$B$74=1),$Z$80,HLOOKUP(INDIRECT(ADDRESS(2,COLUMN())),OFFSET($AH$2,0,0,ROW()-1,28),ROW()-1,FALSE))</f>
        <v>8936660</v>
      </c>
      <c r="AA17">
        <f ca="1">IF(AND(ISNUMBER($AA$80),$B$74=1),$AA$80,HLOOKUP(INDIRECT(ADDRESS(2,COLUMN())),OFFSET($AH$2,0,0,ROW()-1,28),ROW()-1,FALSE))</f>
        <v>9424230</v>
      </c>
      <c r="AB17">
        <f ca="1">IF(AND(ISNUMBER($AB$80),$B$74=1),$AB$80,HLOOKUP(INDIRECT(ADDRESS(2,COLUMN())),OFFSET($AH$2,0,0,ROW()-1,28),ROW()-1,FALSE))</f>
        <v>9188460</v>
      </c>
      <c r="AC17">
        <f ca="1">IF(AND(ISNUMBER($AC$80),$B$74=1),$AC$80,HLOOKUP(INDIRECT(ADDRESS(2,COLUMN())),OFFSET($AH$2,0,0,ROW()-1,28),ROW()-1,FALSE))</f>
        <v>9327020</v>
      </c>
      <c r="AD17">
        <f ca="1">IF(AND(ISNUMBER($AD$80),$B$74=1),$AD$80,HLOOKUP(INDIRECT(ADDRESS(2,COLUMN())),OFFSET($AH$2,0,0,ROW()-1,28),ROW()-1,FALSE))</f>
        <v>8591800</v>
      </c>
      <c r="AE17">
        <f ca="1">IF(AND(ISNUMBER($AE$80),$B$74=1),$AE$80,HLOOKUP(INDIRECT(ADDRESS(2,COLUMN())),OFFSET($AH$2,0,0,ROW()-1,28),ROW()-1,FALSE))</f>
        <v>7821160</v>
      </c>
      <c r="AF17">
        <f ca="1">IF(AND(ISNUMBER($AF$80),$B$74=1),$AF$80,HLOOKUP(INDIRECT(ADDRESS(2,COLUMN())),OFFSET($AH$2,0,0,ROW()-1,28),ROW()-1,FALSE))</f>
        <v>7235320</v>
      </c>
      <c r="AG17">
        <f ca="1">IF(AND(ISNUMBER($AG$80),$B$74=1),$AG$80,HLOOKUP(INDIRECT(ADDRESS(2,COLUMN())),OFFSET($AH$2,0,0,ROW()-1,28),ROW()-1,FALSE))</f>
        <v>6652100</v>
      </c>
      <c r="AH17">
        <f>16110500</f>
        <v>16110500</v>
      </c>
      <c r="AI17">
        <f>15195700</f>
        <v>15195700</v>
      </c>
      <c r="AJ17">
        <f>14483400</f>
        <v>14483400</v>
      </c>
      <c r="AK17">
        <f>14093200</f>
        <v>14093200</v>
      </c>
      <c r="AL17">
        <f>13091900</f>
        <v>13091900</v>
      </c>
      <c r="AM17">
        <f>12595900</f>
        <v>12595900</v>
      </c>
      <c r="AN17">
        <f>11782300</f>
        <v>11782300</v>
      </c>
      <c r="AO17">
        <f>12176700</f>
        <v>12176700</v>
      </c>
      <c r="AP17">
        <f>15085300</f>
        <v>15085300</v>
      </c>
      <c r="AQ17">
        <f>14735600</f>
        <v>14735600</v>
      </c>
      <c r="AR17">
        <f>13391700</f>
        <v>13391700</v>
      </c>
      <c r="AS17">
        <f>11543900</f>
        <v>11543900</v>
      </c>
      <c r="AT17">
        <f>11877600</f>
        <v>11877600</v>
      </c>
      <c r="AU17">
        <f>10933900</f>
        <v>10933900</v>
      </c>
      <c r="AV17">
        <f>9824800</f>
        <v>9824800</v>
      </c>
      <c r="AW17">
        <f>11001000</f>
        <v>11001000</v>
      </c>
      <c r="AX17">
        <f>10837500</f>
        <v>10837500</v>
      </c>
      <c r="AY17">
        <f>10181700</f>
        <v>10181700</v>
      </c>
      <c r="AZ17">
        <f>9403440</f>
        <v>9403440</v>
      </c>
      <c r="BA17">
        <f>9206750</f>
        <v>9206750</v>
      </c>
      <c r="BB17">
        <f>8936660</f>
        <v>8936660</v>
      </c>
      <c r="BC17">
        <f>9424230</f>
        <v>9424230</v>
      </c>
      <c r="BD17">
        <f>9188460</f>
        <v>9188460</v>
      </c>
      <c r="BE17">
        <f>9327020</f>
        <v>9327020</v>
      </c>
      <c r="BF17">
        <f>8591800</f>
        <v>8591800</v>
      </c>
      <c r="BG17">
        <f>7821160</f>
        <v>7821160</v>
      </c>
      <c r="BH17">
        <f>7235320</f>
        <v>7235320</v>
      </c>
      <c r="BI17">
        <f>6652100</f>
        <v>6652100</v>
      </c>
    </row>
    <row r="18" spans="1:61" x14ac:dyDescent="0.25">
      <c r="A18" t="str">
        <f>"            Active Mutual Funds"</f>
        <v xml:space="preserve">            Active Mutual Funds</v>
      </c>
      <c r="B18" t="str">
        <f>".BIAMATT G Index"</f>
        <v>.BIAMATT G Index</v>
      </c>
      <c r="C18" t="str">
        <f>"PR005"</f>
        <v>PR005</v>
      </c>
      <c r="D18" t="str">
        <f>"PX_LAST"</f>
        <v>PX_LAST</v>
      </c>
      <c r="E18" t="str">
        <f>"Dynamic"</f>
        <v>Dynamic</v>
      </c>
      <c r="F18">
        <f ca="1">IF(AND(ISNUMBER($F$81),$B$74=1),$F$81,HLOOKUP(INDIRECT(ADDRESS(2,COLUMN())),OFFSET($AH$2,0,0,ROW()-1,28),ROW()-1,FALSE))</f>
        <v>14722300</v>
      </c>
      <c r="G18">
        <f ca="1">IF(AND(ISNUMBER($G$81),$B$74=1),$G$81,HLOOKUP(INDIRECT(ADDRESS(2,COLUMN())),OFFSET($AH$2,0,0,ROW()-1,28),ROW()-1,FALSE))</f>
        <v>14039000</v>
      </c>
      <c r="H18">
        <f ca="1">IF(AND(ISNUMBER($H$81),$B$74=1),$H$81,HLOOKUP(INDIRECT(ADDRESS(2,COLUMN())),OFFSET($AH$2,0,0,ROW()-1,28),ROW()-1,FALSE))</f>
        <v>13538000</v>
      </c>
      <c r="I18">
        <f ca="1">IF(AND(ISNUMBER($I$81),$B$74=1),$I$81,HLOOKUP(INDIRECT(ADDRESS(2,COLUMN())),OFFSET($AH$2,0,0,ROW()-1,28),ROW()-1,FALSE))</f>
        <v>13335100</v>
      </c>
      <c r="J18">
        <f ca="1">IF(AND(ISNUMBER($J$81),$B$74=1),$J$81,HLOOKUP(INDIRECT(ADDRESS(2,COLUMN())),OFFSET($AH$2,0,0,ROW()-1,28),ROW()-1,FALSE))</f>
        <v>12502600</v>
      </c>
      <c r="K18">
        <f ca="1">IF(AND(ISNUMBER($K$81),$B$74=1),$K$81,HLOOKUP(INDIRECT(ADDRESS(2,COLUMN())),OFFSET($AH$2,0,0,ROW()-1,28),ROW()-1,FALSE))</f>
        <v>12101400</v>
      </c>
      <c r="L18">
        <f ca="1">IF(AND(ISNUMBER($L$81),$B$74=1),$L$81,HLOOKUP(INDIRECT(ADDRESS(2,COLUMN())),OFFSET($AH$2,0,0,ROW()-1,28),ROW()-1,FALSE))</f>
        <v>11368200</v>
      </c>
      <c r="M18">
        <f ca="1">IF(AND(ISNUMBER($M$81),$B$74=1),$M$81,HLOOKUP(INDIRECT(ADDRESS(2,COLUMN())),OFFSET($AH$2,0,0,ROW()-1,28),ROW()-1,FALSE))</f>
        <v>11808600</v>
      </c>
      <c r="N18">
        <f ca="1">IF(AND(ISNUMBER($N$81),$B$74=1),$N$81,HLOOKUP(INDIRECT(ADDRESS(2,COLUMN())),OFFSET($AH$2,0,0,ROW()-1,28),ROW()-1,FALSE))</f>
        <v>14726600</v>
      </c>
      <c r="O18">
        <f ca="1">IF(AND(ISNUMBER($O$81),$B$74=1),$O$81,HLOOKUP(INDIRECT(ADDRESS(2,COLUMN())),OFFSET($AH$2,0,0,ROW()-1,28),ROW()-1,FALSE))</f>
        <v>14403900</v>
      </c>
      <c r="P18">
        <f ca="1">IF(AND(ISNUMBER($P$81),$B$74=1),$P$81,HLOOKUP(INDIRECT(ADDRESS(2,COLUMN())),OFFSET($AH$2,0,0,ROW()-1,28),ROW()-1,FALSE))</f>
        <v>13136100</v>
      </c>
      <c r="Q18">
        <f ca="1">IF(AND(ISNUMBER($Q$81),$B$74=1),$Q$81,HLOOKUP(INDIRECT(ADDRESS(2,COLUMN())),OFFSET($AH$2,0,0,ROW()-1,28),ROW()-1,FALSE))</f>
        <v>11361300</v>
      </c>
      <c r="R18">
        <f ca="1">IF(AND(ISNUMBER($R$81),$B$74=1),$R$81,HLOOKUP(INDIRECT(ADDRESS(2,COLUMN())),OFFSET($AH$2,0,0,ROW()-1,28),ROW()-1,FALSE))</f>
        <v>11701500</v>
      </c>
      <c r="S18">
        <f ca="1">IF(AND(ISNUMBER($S$81),$B$74=1),$S$81,HLOOKUP(INDIRECT(ADDRESS(2,COLUMN())),OFFSET($AH$2,0,0,ROW()-1,28),ROW()-1,FALSE))</f>
        <v>10781600</v>
      </c>
      <c r="T18">
        <f ca="1">IF(AND(ISNUMBER($T$81),$B$74=1),$T$81,HLOOKUP(INDIRECT(ADDRESS(2,COLUMN())),OFFSET($AH$2,0,0,ROW()-1,28),ROW()-1,FALSE))</f>
        <v>9694990</v>
      </c>
      <c r="U18">
        <f ca="1">IF(AND(ISNUMBER($U$81),$B$74=1),$U$81,HLOOKUP(INDIRECT(ADDRESS(2,COLUMN())),OFFSET($AH$2,0,0,ROW()-1,28),ROW()-1,FALSE))</f>
        <v>10872700</v>
      </c>
      <c r="V18">
        <f ca="1">IF(AND(ISNUMBER($V$81),$B$74=1),$V$81,HLOOKUP(INDIRECT(ADDRESS(2,COLUMN())),OFFSET($AH$2,0,0,ROW()-1,28),ROW()-1,FALSE))</f>
        <v>10726200</v>
      </c>
      <c r="W18">
        <f ca="1">IF(AND(ISNUMBER($W$81),$B$74=1),$W$81,HLOOKUP(INDIRECT(ADDRESS(2,COLUMN())),OFFSET($AH$2,0,0,ROW()-1,28),ROW()-1,FALSE))</f>
        <v>10089600</v>
      </c>
      <c r="X18">
        <f ca="1">IF(AND(ISNUMBER($X$81),$B$74=1),$X$81,HLOOKUP(INDIRECT(ADDRESS(2,COLUMN())),OFFSET($AH$2,0,0,ROW()-1,28),ROW()-1,FALSE))</f>
        <v>9323080</v>
      </c>
      <c r="Y18">
        <f ca="1">IF(AND(ISNUMBER($Y$81),$B$74=1),$Y$81,HLOOKUP(INDIRECT(ADDRESS(2,COLUMN())),OFFSET($AH$2,0,0,ROW()-1,28),ROW()-1,FALSE))</f>
        <v>9138660</v>
      </c>
      <c r="Z18">
        <f ca="1">IF(AND(ISNUMBER($Z$81),$B$74=1),$Z$81,HLOOKUP(INDIRECT(ADDRESS(2,COLUMN())),OFFSET($AH$2,0,0,ROW()-1,28),ROW()-1,FALSE))</f>
        <v>8876340</v>
      </c>
      <c r="AA18">
        <f ca="1">IF(AND(ISNUMBER($AA$81),$B$74=1),$AA$81,HLOOKUP(INDIRECT(ADDRESS(2,COLUMN())),OFFSET($AH$2,0,0,ROW()-1,28),ROW()-1,FALSE))</f>
        <v>9363890</v>
      </c>
      <c r="AB18">
        <f ca="1">IF(AND(ISNUMBER($AB$81),$B$74=1),$AB$81,HLOOKUP(INDIRECT(ADDRESS(2,COLUMN())),OFFSET($AH$2,0,0,ROW()-1,28),ROW()-1,FALSE))</f>
        <v>9135500</v>
      </c>
      <c r="AC18">
        <f ca="1">IF(AND(ISNUMBER($AC$81),$B$74=1),$AC$81,HLOOKUP(INDIRECT(ADDRESS(2,COLUMN())),OFFSET($AH$2,0,0,ROW()-1,28),ROW()-1,FALSE))</f>
        <v>9275590</v>
      </c>
      <c r="AD18">
        <f ca="1">IF(AND(ISNUMBER($AD$81),$B$74=1),$AD$81,HLOOKUP(INDIRECT(ADDRESS(2,COLUMN())),OFFSET($AH$2,0,0,ROW()-1,28),ROW()-1,FALSE))</f>
        <v>8547190</v>
      </c>
      <c r="AE18">
        <f ca="1">IF(AND(ISNUMBER($AE$81),$B$74=1),$AE$81,HLOOKUP(INDIRECT(ADDRESS(2,COLUMN())),OFFSET($AH$2,0,0,ROW()-1,28),ROW()-1,FALSE))</f>
        <v>7781640</v>
      </c>
      <c r="AF18">
        <f ca="1">IF(AND(ISNUMBER($AF$81),$B$74=1),$AF$81,HLOOKUP(INDIRECT(ADDRESS(2,COLUMN())),OFFSET($AH$2,0,0,ROW()-1,28),ROW()-1,FALSE))</f>
        <v>7209500</v>
      </c>
      <c r="AG18">
        <f ca="1">IF(AND(ISNUMBER($AG$81),$B$74=1),$AG$81,HLOOKUP(INDIRECT(ADDRESS(2,COLUMN())),OFFSET($AH$2,0,0,ROW()-1,28),ROW()-1,FALSE))</f>
        <v>6625190</v>
      </c>
      <c r="AH18">
        <f>14722300</f>
        <v>14722300</v>
      </c>
      <c r="AI18">
        <f>14039000</f>
        <v>14039000</v>
      </c>
      <c r="AJ18">
        <f>13538000</f>
        <v>13538000</v>
      </c>
      <c r="AK18">
        <f>13335100</f>
        <v>13335100</v>
      </c>
      <c r="AL18">
        <f>12502600</f>
        <v>12502600</v>
      </c>
      <c r="AM18">
        <f>12101400</f>
        <v>12101400</v>
      </c>
      <c r="AN18">
        <f>11368200</f>
        <v>11368200</v>
      </c>
      <c r="AO18">
        <f>11808600</f>
        <v>11808600</v>
      </c>
      <c r="AP18">
        <f>14726600</f>
        <v>14726600</v>
      </c>
      <c r="AQ18">
        <f>14403900</f>
        <v>14403900</v>
      </c>
      <c r="AR18">
        <f>13136100</f>
        <v>13136100</v>
      </c>
      <c r="AS18">
        <f>11361300</f>
        <v>11361300</v>
      </c>
      <c r="AT18">
        <f>11701500</f>
        <v>11701500</v>
      </c>
      <c r="AU18">
        <f>10781600</f>
        <v>10781600</v>
      </c>
      <c r="AV18">
        <f>9694990</f>
        <v>9694990</v>
      </c>
      <c r="AW18">
        <f>10872700</f>
        <v>10872700</v>
      </c>
      <c r="AX18">
        <f>10726200</f>
        <v>10726200</v>
      </c>
      <c r="AY18">
        <f>10089600</f>
        <v>10089600</v>
      </c>
      <c r="AZ18">
        <f>9323080</f>
        <v>9323080</v>
      </c>
      <c r="BA18">
        <f>9138660</f>
        <v>9138660</v>
      </c>
      <c r="BB18">
        <f>8876340</f>
        <v>8876340</v>
      </c>
      <c r="BC18">
        <f>9363890</f>
        <v>9363890</v>
      </c>
      <c r="BD18">
        <f>9135500</f>
        <v>9135500</v>
      </c>
      <c r="BE18">
        <f>9275590</f>
        <v>9275590</v>
      </c>
      <c r="BF18">
        <f>8547190</f>
        <v>8547190</v>
      </c>
      <c r="BG18">
        <f>7781640</f>
        <v>7781640</v>
      </c>
      <c r="BH18">
        <f>7209500</f>
        <v>7209500</v>
      </c>
      <c r="BI18">
        <f>6625190</f>
        <v>6625190</v>
      </c>
    </row>
    <row r="19" spans="1:61" x14ac:dyDescent="0.25">
      <c r="A19" t="str">
        <f>"            Active ETFs"</f>
        <v xml:space="preserve">            Active ETFs</v>
      </c>
      <c r="B19" t="str">
        <f>""</f>
        <v/>
      </c>
      <c r="E19" t="str">
        <f>"Expression"</f>
        <v>Expression</v>
      </c>
      <c r="F19">
        <f ca="1">IF(AND($B$74=1,LEN($F$17) * LEN($F$18)&gt;0),$F$17-$F$18,HLOOKUP(INDIRECT(ADDRESS(2,COLUMN())),OFFSET($AH$2,0,0,ROW()-1,28),ROW()-1,FALSE))</f>
        <v>1388200</v>
      </c>
      <c r="G19">
        <f ca="1">IF(AND($B$74=1,LEN($G$17) * LEN($G$18)&gt;0),$G$17-$G$18,HLOOKUP(INDIRECT(ADDRESS(2,COLUMN())),OFFSET($AH$2,0,0,ROW()-1,28),ROW()-1,FALSE))</f>
        <v>1156700</v>
      </c>
      <c r="H19">
        <f ca="1">IF(AND($B$74=1,LEN($H$17) * LEN($H$18)&gt;0),$H$17-$H$18,HLOOKUP(INDIRECT(ADDRESS(2,COLUMN())),OFFSET($AH$2,0,0,ROW()-1,28),ROW()-1,FALSE))</f>
        <v>945400</v>
      </c>
      <c r="I19">
        <f ca="1">IF(AND($B$74=1,LEN($I$17) * LEN($I$18)&gt;0),$I$17-$I$18,HLOOKUP(INDIRECT(ADDRESS(2,COLUMN())),OFFSET($AH$2,0,0,ROW()-1,28),ROW()-1,FALSE))</f>
        <v>758100</v>
      </c>
      <c r="J19">
        <f ca="1">IF(AND($B$74=1,LEN($J$17) * LEN($J$18)&gt;0),$J$17-$J$18,HLOOKUP(INDIRECT(ADDRESS(2,COLUMN())),OFFSET($AH$2,0,0,ROW()-1,28),ROW()-1,FALSE))</f>
        <v>589300</v>
      </c>
      <c r="K19">
        <f ca="1">IF(AND($B$74=1,LEN($K$17) * LEN($K$18)&gt;0),$K$17-$K$18,HLOOKUP(INDIRECT(ADDRESS(2,COLUMN())),OFFSET($AH$2,0,0,ROW()-1,28),ROW()-1,FALSE))</f>
        <v>494500</v>
      </c>
      <c r="L19">
        <f ca="1">IF(AND($B$74=1,LEN($L$17) * LEN($L$18)&gt;0),$L$17-$L$18,HLOOKUP(INDIRECT(ADDRESS(2,COLUMN())),OFFSET($AH$2,0,0,ROW()-1,28),ROW()-1,FALSE))</f>
        <v>414100</v>
      </c>
      <c r="M19">
        <f ca="1">IF(AND($B$74=1,LEN($M$17) * LEN($M$18)&gt;0),$M$17-$M$18,HLOOKUP(INDIRECT(ADDRESS(2,COLUMN())),OFFSET($AH$2,0,0,ROW()-1,28),ROW()-1,FALSE))</f>
        <v>368100</v>
      </c>
      <c r="N19">
        <f ca="1">IF(AND($B$74=1,LEN($N$17) * LEN($N$18)&gt;0),$N$17-$N$18,HLOOKUP(INDIRECT(ADDRESS(2,COLUMN())),OFFSET($AH$2,0,0,ROW()-1,28),ROW()-1,FALSE))</f>
        <v>358700</v>
      </c>
      <c r="O19">
        <f ca="1">IF(AND($B$74=1,LEN($O$17) * LEN($O$18)&gt;0),$O$17-$O$18,HLOOKUP(INDIRECT(ADDRESS(2,COLUMN())),OFFSET($AH$2,0,0,ROW()-1,28),ROW()-1,FALSE))</f>
        <v>331700</v>
      </c>
      <c r="P19">
        <f ca="1">IF(AND($B$74=1,LEN($P$17) * LEN($P$18)&gt;0),$P$17-$P$18,HLOOKUP(INDIRECT(ADDRESS(2,COLUMN())),OFFSET($AH$2,0,0,ROW()-1,28),ROW()-1,FALSE))</f>
        <v>255600</v>
      </c>
      <c r="Q19">
        <f ca="1">IF(AND($B$74=1,LEN($Q$17) * LEN($Q$18)&gt;0),$Q$17-$Q$18,HLOOKUP(INDIRECT(ADDRESS(2,COLUMN())),OFFSET($AH$2,0,0,ROW()-1,28),ROW()-1,FALSE))</f>
        <v>182600</v>
      </c>
      <c r="R19">
        <f ca="1">IF(AND($B$74=1,LEN($R$17) * LEN($R$18)&gt;0),$R$17-$R$18,HLOOKUP(INDIRECT(ADDRESS(2,COLUMN())),OFFSET($AH$2,0,0,ROW()-1,28),ROW()-1,FALSE))</f>
        <v>176100</v>
      </c>
      <c r="S19">
        <f ca="1">IF(AND($B$74=1,LEN($S$17) * LEN($S$18)&gt;0),$S$17-$S$18,HLOOKUP(INDIRECT(ADDRESS(2,COLUMN())),OFFSET($AH$2,0,0,ROW()-1,28),ROW()-1,FALSE))</f>
        <v>152300</v>
      </c>
      <c r="T19">
        <f ca="1">IF(AND($B$74=1,LEN($T$17) * LEN($T$18)&gt;0),$T$17-$T$18,HLOOKUP(INDIRECT(ADDRESS(2,COLUMN())),OFFSET($AH$2,0,0,ROW()-1,28),ROW()-1,FALSE))</f>
        <v>129810</v>
      </c>
      <c r="U19">
        <f ca="1">IF(AND($B$74=1,LEN($U$17) * LEN($U$18)&gt;0),$U$17-$U$18,HLOOKUP(INDIRECT(ADDRESS(2,COLUMN())),OFFSET($AH$2,0,0,ROW()-1,28),ROW()-1,FALSE))</f>
        <v>128300</v>
      </c>
      <c r="V19">
        <f ca="1">IF(AND($B$74=1,LEN($V$17) * LEN($V$18)&gt;0),$V$17-$V$18,HLOOKUP(INDIRECT(ADDRESS(2,COLUMN())),OFFSET($AH$2,0,0,ROW()-1,28),ROW()-1,FALSE))</f>
        <v>111300</v>
      </c>
      <c r="W19">
        <f ca="1">IF(AND($B$74=1,LEN($W$17) * LEN($W$18)&gt;0),$W$17-$W$18,HLOOKUP(INDIRECT(ADDRESS(2,COLUMN())),OFFSET($AH$2,0,0,ROW()-1,28),ROW()-1,FALSE))</f>
        <v>92100</v>
      </c>
      <c r="X19">
        <f ca="1">IF(AND($B$74=1,LEN($X$17) * LEN($X$18)&gt;0),$X$17-$X$18,HLOOKUP(INDIRECT(ADDRESS(2,COLUMN())),OFFSET($AH$2,0,0,ROW()-1,28),ROW()-1,FALSE))</f>
        <v>80360</v>
      </c>
      <c r="Y19">
        <f ca="1">IF(AND($B$74=1,LEN($Y$17) * LEN($Y$18)&gt;0),$Y$17-$Y$18,HLOOKUP(INDIRECT(ADDRESS(2,COLUMN())),OFFSET($AH$2,0,0,ROW()-1,28),ROW()-1,FALSE))</f>
        <v>68090</v>
      </c>
      <c r="Z19">
        <f ca="1">IF(AND($B$74=1,LEN($Z$17) * LEN($Z$18)&gt;0),$Z$17-$Z$18,HLOOKUP(INDIRECT(ADDRESS(2,COLUMN())),OFFSET($AH$2,0,0,ROW()-1,28),ROW()-1,FALSE))</f>
        <v>60320</v>
      </c>
      <c r="AA19">
        <f ca="1">IF(AND($B$74=1,LEN($AA$17) * LEN($AA$18)&gt;0),$AA$17-$AA$18,HLOOKUP(INDIRECT(ADDRESS(2,COLUMN())),OFFSET($AH$2,0,0,ROW()-1,28),ROW()-1,FALSE))</f>
        <v>60340</v>
      </c>
      <c r="AB19">
        <f ca="1">IF(AND($B$74=1,LEN($AB$17) * LEN($AB$18)&gt;0),$AB$17-$AB$18,HLOOKUP(INDIRECT(ADDRESS(2,COLUMN())),OFFSET($AH$2,0,0,ROW()-1,28),ROW()-1,FALSE))</f>
        <v>52960</v>
      </c>
      <c r="AC19">
        <f ca="1">IF(AND($B$74=1,LEN($AC$17) * LEN($AC$18)&gt;0),$AC$17-$AC$18,HLOOKUP(INDIRECT(ADDRESS(2,COLUMN())),OFFSET($AH$2,0,0,ROW()-1,28),ROW()-1,FALSE))</f>
        <v>51430</v>
      </c>
      <c r="AD19">
        <f ca="1">IF(AND($B$74=1,LEN($AD$17) * LEN($AD$18)&gt;0),$AD$17-$AD$18,HLOOKUP(INDIRECT(ADDRESS(2,COLUMN())),OFFSET($AH$2,0,0,ROW()-1,28),ROW()-1,FALSE))</f>
        <v>44610</v>
      </c>
      <c r="AE19">
        <f ca="1">IF(AND($B$74=1,LEN($AE$17) * LEN($AE$18)&gt;0),$AE$17-$AE$18,HLOOKUP(INDIRECT(ADDRESS(2,COLUMN())),OFFSET($AH$2,0,0,ROW()-1,28),ROW()-1,FALSE))</f>
        <v>39520</v>
      </c>
      <c r="AF19">
        <f ca="1">IF(AND($B$74=1,LEN($AF$17) * LEN($AF$18)&gt;0),$AF$17-$AF$18,HLOOKUP(INDIRECT(ADDRESS(2,COLUMN())),OFFSET($AH$2,0,0,ROW()-1,28),ROW()-1,FALSE))</f>
        <v>25820</v>
      </c>
      <c r="AG19">
        <f ca="1">IF(AND($B$74=1,LEN($AG$17) * LEN($AG$18)&gt;0),$AG$17-$AG$18,HLOOKUP(INDIRECT(ADDRESS(2,COLUMN())),OFFSET($AH$2,0,0,ROW()-1,28),ROW()-1,FALSE))</f>
        <v>26910</v>
      </c>
      <c r="AH19">
        <f>1388200</f>
        <v>1388200</v>
      </c>
      <c r="AI19">
        <f>1156700</f>
        <v>1156700</v>
      </c>
      <c r="AJ19">
        <f>945400</f>
        <v>945400</v>
      </c>
      <c r="AK19">
        <f>758100</f>
        <v>758100</v>
      </c>
      <c r="AL19">
        <f>589300</f>
        <v>589300</v>
      </c>
      <c r="AM19">
        <f>494500</f>
        <v>494500</v>
      </c>
      <c r="AN19">
        <f>414100</f>
        <v>414100</v>
      </c>
      <c r="AO19">
        <f>368100</f>
        <v>368100</v>
      </c>
      <c r="AP19">
        <f>358700</f>
        <v>358700</v>
      </c>
      <c r="AQ19">
        <f>331700</f>
        <v>331700</v>
      </c>
      <c r="AR19">
        <f>255600</f>
        <v>255600</v>
      </c>
      <c r="AS19">
        <f>182600</f>
        <v>182600</v>
      </c>
      <c r="AT19">
        <f>176100</f>
        <v>176100</v>
      </c>
      <c r="AU19">
        <f>152300</f>
        <v>152300</v>
      </c>
      <c r="AV19">
        <f>129810</f>
        <v>129810</v>
      </c>
      <c r="AW19">
        <f>128300</f>
        <v>128300</v>
      </c>
      <c r="AX19">
        <f>111300</f>
        <v>111300</v>
      </c>
      <c r="AY19">
        <f>92100</f>
        <v>92100</v>
      </c>
      <c r="AZ19">
        <f>80360</f>
        <v>80360</v>
      </c>
      <c r="BA19">
        <f>68090</f>
        <v>68090</v>
      </c>
      <c r="BB19">
        <f>60320</f>
        <v>60320</v>
      </c>
      <c r="BC19">
        <f>60340</f>
        <v>60340</v>
      </c>
      <c r="BD19">
        <f>52960</f>
        <v>52960</v>
      </c>
      <c r="BE19">
        <f>51430</f>
        <v>51430</v>
      </c>
      <c r="BF19">
        <f>44610</f>
        <v>44610</v>
      </c>
      <c r="BG19">
        <f>39520</f>
        <v>39520</v>
      </c>
      <c r="BH19">
        <f>25820</f>
        <v>25820</v>
      </c>
      <c r="BI19">
        <f>26910</f>
        <v>26910</v>
      </c>
    </row>
    <row r="20" spans="1:61" x14ac:dyDescent="0.25">
      <c r="A20" t="str">
        <f>"    All Fixed Income Funds"</f>
        <v xml:space="preserve">    All Fixed Income Funds</v>
      </c>
      <c r="B20" t="str">
        <f>""</f>
        <v/>
      </c>
      <c r="E20" t="str">
        <f>"Sum"</f>
        <v>Sum</v>
      </c>
      <c r="F20">
        <f ca="1">IF(ISERROR(IF(SUM($F$21,$F$24) = 0, "", SUM($F$21,$F$24))), "", (IF(SUM($F$21,$F$24) = 0, "", SUM($F$21,$F$24))))</f>
        <v>7344380</v>
      </c>
      <c r="G20">
        <f ca="1">IF(ISERROR(IF(SUM($G$21,$G$24) = 0, "", SUM($G$21,$G$24))), "", (IF(SUM($G$21,$G$24) = 0, "", SUM($G$21,$G$24))))</f>
        <v>6885580</v>
      </c>
      <c r="H20">
        <f ca="1">IF(ISERROR(IF(SUM($H$21,$H$24) = 0, "", SUM($H$21,$H$24))), "", (IF(SUM($H$21,$H$24) = 0, "", SUM($H$21,$H$24))))</f>
        <v>6572320</v>
      </c>
      <c r="I20">
        <f ca="1">IF(ISERROR(IF(SUM($I$21,$I$24) = 0, "", SUM($I$21,$I$24))), "", (IF(SUM($I$21,$I$24) = 0, "", SUM($I$21,$I$24))))</f>
        <v>6231860</v>
      </c>
      <c r="J20">
        <f ca="1">IF(ISERROR(IF(SUM($J$21,$J$24) = 0, "", SUM($J$21,$J$24))), "", (IF(SUM($J$21,$J$24) = 0, "", SUM($J$21,$J$24))))</f>
        <v>6003270</v>
      </c>
      <c r="K20">
        <f ca="1">IF(ISERROR(IF(SUM($K$21,$K$24) = 0, "", SUM($K$21,$K$24))), "", (IF(SUM($K$21,$K$24) = 0, "", SUM($K$21,$K$24))))</f>
        <v>5753570</v>
      </c>
      <c r="L20">
        <f ca="1">IF(ISERROR(IF(SUM($L$21,$L$24) = 0, "", SUM($L$21,$L$24))), "", (IF(SUM($L$21,$L$24) = 0, "", SUM($L$21,$L$24))))</f>
        <v>5610830</v>
      </c>
      <c r="M20">
        <f ca="1">IF(ISERROR(IF(SUM($M$21,$M$24) = 0, "", SUM($M$21,$M$24))), "", (IF(SUM($M$21,$M$24) = 0, "", SUM($M$21,$M$24))))</f>
        <v>5818320</v>
      </c>
      <c r="N20">
        <f ca="1">IF(ISERROR(IF(SUM($N$21,$N$24) = 0, "", SUM($N$21,$N$24))), "", (IF(SUM($N$21,$N$24) = 0, "", SUM($N$21,$N$24))))</f>
        <v>6645050</v>
      </c>
      <c r="O20">
        <f ca="1">IF(ISERROR(IF(SUM($O$21,$O$24) = 0, "", SUM($O$21,$O$24))), "", (IF(SUM($O$21,$O$24) = 0, "", SUM($O$21,$O$24))))</f>
        <v>6422860</v>
      </c>
      <c r="P20">
        <f ca="1">IF(ISERROR(IF(SUM($P$21,$P$24) = 0, "", SUM($P$21,$P$24))), "", (IF(SUM($P$21,$P$24) = 0, "", SUM($P$21,$P$24))))</f>
        <v>5999420</v>
      </c>
      <c r="Q20">
        <f ca="1">IF(ISERROR(IF(SUM($Q$21,$Q$24) = 0, "", SUM($Q$21,$Q$24))), "", (IF(SUM($Q$21,$Q$24) = 0, "", SUM($Q$21,$Q$24))))</f>
        <v>5394600</v>
      </c>
      <c r="R20">
        <f ca="1">IF(ISERROR(IF(SUM($R$21,$R$24) = 0, "", SUM($R$21,$R$24))), "", (IF(SUM($R$21,$R$24) = 0, "", SUM($R$21,$R$24))))</f>
        <v>5192150</v>
      </c>
      <c r="S20">
        <f ca="1">IF(ISERROR(IF(SUM($S$21,$S$24) = 0, "", SUM($S$21,$S$24))), "", (IF(SUM($S$21,$S$24) = 0, "", SUM($S$21,$S$24))))</f>
        <v>4737200</v>
      </c>
      <c r="T20">
        <f ca="1">IF(ISERROR(IF(SUM($T$21,$T$24) = 0, "", SUM($T$21,$T$24))), "", (IF(SUM($T$21,$T$24) = 0, "", SUM($T$21,$T$24))))</f>
        <v>4315060</v>
      </c>
      <c r="U20">
        <f ca="1">IF(ISERROR(IF(SUM($U$21,$U$24) = 0, "", SUM($U$21,$U$24))), "", (IF(SUM($U$21,$U$24) = 0, "", SUM($U$21,$U$24))))</f>
        <v>4324080</v>
      </c>
      <c r="V20">
        <f ca="1">IF(ISERROR(IF(SUM($V$21,$V$24) = 0, "", SUM($V$21,$V$24))), "", (IF(SUM($V$21,$V$24) = 0, "", SUM($V$21,$V$24))))</f>
        <v>4203400</v>
      </c>
      <c r="W20">
        <f ca="1">IF(ISERROR(IF(SUM($W$21,$W$24) = 0, "", SUM($W$21,$W$24))), "", (IF(SUM($W$21,$W$24) = 0, "", SUM($W$21,$W$24))))</f>
        <v>3988585</v>
      </c>
      <c r="X20">
        <f ca="1">IF(ISERROR(IF(SUM($X$21,$X$24) = 0, "", SUM($X$21,$X$24))), "", (IF(SUM($X$21,$X$24) = 0, "", SUM($X$21,$X$24))))</f>
        <v>3668062</v>
      </c>
      <c r="Y20">
        <f ca="1">IF(ISERROR(IF(SUM($Y$21,$Y$24) = 0, "", SUM($Y$21,$Y$24))), "", (IF(SUM($Y$21,$Y$24) = 0, "", SUM($Y$21,$Y$24))))</f>
        <v>3619598</v>
      </c>
      <c r="Z20">
        <f ca="1">IF(ISERROR(IF(SUM($Z$21,$Z$24) = 0, "", SUM($Z$21,$Z$24))), "", (IF(SUM($Z$21,$Z$24) = 0, "", SUM($Z$21,$Z$24))))</f>
        <v>3335201</v>
      </c>
      <c r="AA20">
        <f ca="1">IF(ISERROR(IF(SUM($AA$21,$AA$24) = 0, "", SUM($AA$21,$AA$24))), "", (IF(SUM($AA$21,$AA$24) = 0, "", SUM($AA$21,$AA$24))))</f>
        <v>3370027</v>
      </c>
      <c r="AB20">
        <f ca="1">IF(ISERROR(IF(SUM($AB$21,$AB$24) = 0, "", SUM($AB$21,$AB$24))), "", (IF(SUM($AB$21,$AB$24) = 0, "", SUM($AB$21,$AB$24))))</f>
        <v>3308345</v>
      </c>
      <c r="AC20">
        <f ca="1">IF(ISERROR(IF(SUM($AC$21,$AC$24) = 0, "", SUM($AC$21,$AC$24))), "", (IF(SUM($AC$21,$AC$24) = 0, "", SUM($AC$21,$AC$24))))</f>
        <v>3285478</v>
      </c>
      <c r="AD20">
        <f ca="1">IF(ISERROR(IF(SUM($AD$21,$AD$24) = 0, "", SUM($AD$21,$AD$24))), "", (IF(SUM($AD$21,$AD$24) = 0, "", SUM($AD$21,$AD$24))))</f>
        <v>3059854</v>
      </c>
      <c r="AE20">
        <f ca="1">IF(ISERROR(IF(SUM($AE$21,$AE$24) = 0, "", SUM($AE$21,$AE$24))), "", (IF(SUM($AE$21,$AE$24) = 0, "", SUM($AE$21,$AE$24))))</f>
        <v>3111397</v>
      </c>
      <c r="AF20">
        <f ca="1">IF(ISERROR(IF(SUM($AF$21,$AF$24) = 0, "", SUM($AF$21,$AF$24))), "", (IF(SUM($AF$21,$AF$24) = 0, "", SUM($AF$21,$AF$24))))</f>
        <v>3097681</v>
      </c>
      <c r="AG20">
        <f ca="1">IF(ISERROR(IF(SUM($AG$21,$AG$24) = 0, "", SUM($AG$21,$AG$24))), "", (IF(SUM($AG$21,$AG$24) = 0, "", SUM($AG$21,$AG$24))))</f>
        <v>2826984</v>
      </c>
      <c r="AH20">
        <f>7344380</f>
        <v>7344380</v>
      </c>
      <c r="AI20">
        <f>6885580</f>
        <v>6885580</v>
      </c>
      <c r="AJ20">
        <f>6572320</f>
        <v>6572320</v>
      </c>
      <c r="AK20">
        <f>6231860</f>
        <v>6231860</v>
      </c>
      <c r="AL20">
        <f>6003270</f>
        <v>6003270</v>
      </c>
      <c r="AM20">
        <f>5753570</f>
        <v>5753570</v>
      </c>
      <c r="AN20">
        <f>5610830</f>
        <v>5610830</v>
      </c>
      <c r="AO20">
        <f>5818320</f>
        <v>5818320</v>
      </c>
      <c r="AP20">
        <f>6645050</f>
        <v>6645050</v>
      </c>
      <c r="AQ20">
        <f>6422860</f>
        <v>6422860</v>
      </c>
      <c r="AR20">
        <f>5999420</f>
        <v>5999420</v>
      </c>
      <c r="AS20">
        <f>5394600</f>
        <v>5394600</v>
      </c>
      <c r="AT20">
        <f>5192150</f>
        <v>5192150</v>
      </c>
      <c r="AU20">
        <f>4737200</f>
        <v>4737200</v>
      </c>
      <c r="AV20">
        <f>4315060</f>
        <v>4315060</v>
      </c>
      <c r="AW20">
        <f>4324080</f>
        <v>4324080</v>
      </c>
      <c r="AX20">
        <f>4203400</f>
        <v>4203400</v>
      </c>
      <c r="AY20">
        <f>3988585</f>
        <v>3988585</v>
      </c>
      <c r="AZ20">
        <f>3668062</f>
        <v>3668062</v>
      </c>
      <c r="BA20">
        <f>3619598</f>
        <v>3619598</v>
      </c>
      <c r="BB20">
        <f>3335201</f>
        <v>3335201</v>
      </c>
      <c r="BC20">
        <f>3370027</f>
        <v>3370027</v>
      </c>
      <c r="BD20">
        <f>3308345</f>
        <v>3308345</v>
      </c>
      <c r="BE20">
        <f>3285478</f>
        <v>3285478</v>
      </c>
      <c r="BF20">
        <f>3059854</f>
        <v>3059854</v>
      </c>
      <c r="BG20">
        <f>3111397</f>
        <v>3111397</v>
      </c>
      <c r="BH20">
        <f>3097681</f>
        <v>3097681</v>
      </c>
      <c r="BI20">
        <f>2826984</f>
        <v>2826984</v>
      </c>
    </row>
    <row r="21" spans="1:61" x14ac:dyDescent="0.25">
      <c r="A21" t="str">
        <f>"        Passive Fixed Income"</f>
        <v xml:space="preserve">        Passive Fixed Income</v>
      </c>
      <c r="B21" t="str">
        <f>".BIATPTF G Index"</f>
        <v>.BIATPTF G Index</v>
      </c>
      <c r="C21" t="str">
        <f>"PR005"</f>
        <v>PR005</v>
      </c>
      <c r="D21" t="str">
        <f>"PX_LAST"</f>
        <v>PX_LAST</v>
      </c>
      <c r="E21" t="str">
        <f>"Dynamic"</f>
        <v>Dynamic</v>
      </c>
      <c r="F21">
        <f ca="1">IF(AND(ISNUMBER($F$82),$B$74=1),$F$82,HLOOKUP(INDIRECT(ADDRESS(2,COLUMN())),OFFSET($AH$2,0,0,ROW()-1,28),ROW()-1,FALSE))</f>
        <v>2828240</v>
      </c>
      <c r="G21">
        <f ca="1">IF(AND(ISNUMBER($G$82),$B$74=1),$G$82,HLOOKUP(INDIRECT(ADDRESS(2,COLUMN())),OFFSET($AH$2,0,0,ROW()-1,28),ROW()-1,FALSE))</f>
        <v>2629560</v>
      </c>
      <c r="H21">
        <f ca="1">IF(AND(ISNUMBER($H$82),$B$74=1),$H$82,HLOOKUP(INDIRECT(ADDRESS(2,COLUMN())),OFFSET($AH$2,0,0,ROW()-1,28),ROW()-1,FALSE))</f>
        <v>2468000</v>
      </c>
      <c r="I21">
        <f ca="1">IF(AND(ISNUMBER($I$82),$B$74=1),$I$82,HLOOKUP(INDIRECT(ADDRESS(2,COLUMN())),OFFSET($AH$2,0,0,ROW()-1,28),ROW()-1,FALSE))</f>
        <v>2333210</v>
      </c>
      <c r="J21">
        <f ca="1">IF(AND(ISNUMBER($J$82),$B$74=1),$J$82,HLOOKUP(INDIRECT(ADDRESS(2,COLUMN())),OFFSET($AH$2,0,0,ROW()-1,28),ROW()-1,FALSE))</f>
        <v>2245730</v>
      </c>
      <c r="K21">
        <f ca="1">IF(AND(ISNUMBER($K$82),$B$74=1),$K$82,HLOOKUP(INDIRECT(ADDRESS(2,COLUMN())),OFFSET($AH$2,0,0,ROW()-1,28),ROW()-1,FALSE))</f>
        <v>2097600</v>
      </c>
      <c r="L21">
        <f ca="1">IF(AND(ISNUMBER($L$82),$B$74=1),$L$82,HLOOKUP(INDIRECT(ADDRESS(2,COLUMN())),OFFSET($AH$2,0,0,ROW()-1,28),ROW()-1,FALSE))</f>
        <v>2038150</v>
      </c>
      <c r="M21">
        <f ca="1">IF(AND(ISNUMBER($M$82),$B$74=1),$M$82,HLOOKUP(INDIRECT(ADDRESS(2,COLUMN())),OFFSET($AH$2,0,0,ROW()-1,28),ROW()-1,FALSE))</f>
        <v>1978470</v>
      </c>
      <c r="N21">
        <f ca="1">IF(AND(ISNUMBER($N$82),$B$74=1),$N$82,HLOOKUP(INDIRECT(ADDRESS(2,COLUMN())),OFFSET($AH$2,0,0,ROW()-1,28),ROW()-1,FALSE))</f>
        <v>2119510</v>
      </c>
      <c r="O21">
        <f ca="1">IF(AND(ISNUMBER($O$82),$B$74=1),$O$82,HLOOKUP(INDIRECT(ADDRESS(2,COLUMN())),OFFSET($AH$2,0,0,ROW()-1,28),ROW()-1,FALSE))</f>
        <v>2015360</v>
      </c>
      <c r="P21">
        <f ca="1">IF(AND(ISNUMBER($P$82),$B$74=1),$P$82,HLOOKUP(INDIRECT(ADDRESS(2,COLUMN())),OFFSET($AH$2,0,0,ROW()-1,28),ROW()-1,FALSE))</f>
        <v>1869390</v>
      </c>
      <c r="Q21">
        <f ca="1">IF(AND(ISNUMBER($Q$82),$B$74=1),$Q$82,HLOOKUP(INDIRECT(ADDRESS(2,COLUMN())),OFFSET($AH$2,0,0,ROW()-1,28),ROW()-1,FALSE))</f>
        <v>1678660</v>
      </c>
      <c r="R21">
        <f ca="1">IF(AND(ISNUMBER($R$82),$B$74=1),$R$82,HLOOKUP(INDIRECT(ADDRESS(2,COLUMN())),OFFSET($AH$2,0,0,ROW()-1,28),ROW()-1,FALSE))</f>
        <v>1535640</v>
      </c>
      <c r="S21">
        <f ca="1">IF(AND(ISNUMBER($S$82),$B$74=1),$S$82,HLOOKUP(INDIRECT(ADDRESS(2,COLUMN())),OFFSET($AH$2,0,0,ROW()-1,28),ROW()-1,FALSE))</f>
        <v>1396040</v>
      </c>
      <c r="T21">
        <f ca="1">IF(AND(ISNUMBER($T$82),$B$74=1),$T$82,HLOOKUP(INDIRECT(ADDRESS(2,COLUMN())),OFFSET($AH$2,0,0,ROW()-1,28),ROW()-1,FALSE))</f>
        <v>1211570</v>
      </c>
      <c r="U21">
        <f ca="1">IF(AND(ISNUMBER($U$82),$B$74=1),$U$82,HLOOKUP(INDIRECT(ADDRESS(2,COLUMN())),OFFSET($AH$2,0,0,ROW()-1,28),ROW()-1,FALSE))</f>
        <v>1157300</v>
      </c>
      <c r="V21">
        <f ca="1">IF(AND(ISNUMBER($V$82),$B$74=1),$V$82,HLOOKUP(INDIRECT(ADDRESS(2,COLUMN())),OFFSET($AH$2,0,0,ROW()-1,28),ROW()-1,FALSE))</f>
        <v>1097720</v>
      </c>
      <c r="W21">
        <f ca="1">IF(AND(ISNUMBER($W$82),$B$74=1),$W$82,HLOOKUP(INDIRECT(ADDRESS(2,COLUMN())),OFFSET($AH$2,0,0,ROW()-1,28),ROW()-1,FALSE))</f>
        <v>988515</v>
      </c>
      <c r="X21">
        <f ca="1">IF(AND(ISNUMBER($X$82),$B$74=1),$X$82,HLOOKUP(INDIRECT(ADDRESS(2,COLUMN())),OFFSET($AH$2,0,0,ROW()-1,28),ROW()-1,FALSE))</f>
        <v>853632</v>
      </c>
      <c r="Y21">
        <f ca="1">IF(AND(ISNUMBER($Y$82),$B$74=1),$Y$82,HLOOKUP(INDIRECT(ADDRESS(2,COLUMN())),OFFSET($AH$2,0,0,ROW()-1,28),ROW()-1,FALSE))</f>
        <v>807838</v>
      </c>
      <c r="Z21">
        <f ca="1">IF(AND(ISNUMBER($Z$82),$B$74=1),$Z$82,HLOOKUP(INDIRECT(ADDRESS(2,COLUMN())),OFFSET($AH$2,0,0,ROW()-1,28),ROW()-1,FALSE))</f>
        <v>698891</v>
      </c>
      <c r="AA21">
        <f ca="1">IF(AND(ISNUMBER($AA$82),$B$74=1),$AA$82,HLOOKUP(INDIRECT(ADDRESS(2,COLUMN())),OFFSET($AH$2,0,0,ROW()-1,28),ROW()-1,FALSE))</f>
        <v>657527</v>
      </c>
      <c r="AB21">
        <f ca="1">IF(AND(ISNUMBER($AB$82),$B$74=1),$AB$82,HLOOKUP(INDIRECT(ADDRESS(2,COLUMN())),OFFSET($AH$2,0,0,ROW()-1,28),ROW()-1,FALSE))</f>
        <v>612615</v>
      </c>
      <c r="AC21">
        <f ca="1">IF(AND(ISNUMBER($AC$82),$B$74=1),$AC$82,HLOOKUP(INDIRECT(ADDRESS(2,COLUMN())),OFFSET($AH$2,0,0,ROW()-1,28),ROW()-1,FALSE))</f>
        <v>550898</v>
      </c>
      <c r="AD21">
        <f ca="1">IF(AND(ISNUMBER($AD$82),$B$74=1),$AD$82,HLOOKUP(INDIRECT(ADDRESS(2,COLUMN())),OFFSET($AH$2,0,0,ROW()-1,28),ROW()-1,FALSE))</f>
        <v>496974</v>
      </c>
      <c r="AE21">
        <f ca="1">IF(AND(ISNUMBER($AE$82),$B$74=1),$AE$82,HLOOKUP(INDIRECT(ADDRESS(2,COLUMN())),OFFSET($AH$2,0,0,ROW()-1,28),ROW()-1,FALSE))</f>
        <v>493647</v>
      </c>
      <c r="AF21">
        <f ca="1">IF(AND(ISNUMBER($AF$82),$B$74=1),$AF$82,HLOOKUP(INDIRECT(ADDRESS(2,COLUMN())),OFFSET($AH$2,0,0,ROW()-1,28),ROW()-1,FALSE))</f>
        <v>480491</v>
      </c>
      <c r="AG21">
        <f ca="1">IF(AND(ISNUMBER($AG$82),$B$74=1),$AG$82,HLOOKUP(INDIRECT(ADDRESS(2,COLUMN())),OFFSET($AH$2,0,0,ROW()-1,28),ROW()-1,FALSE))</f>
        <v>446614</v>
      </c>
      <c r="AH21">
        <f>2828240</f>
        <v>2828240</v>
      </c>
      <c r="AI21">
        <f>2629560</f>
        <v>2629560</v>
      </c>
      <c r="AJ21">
        <f>2468000</f>
        <v>2468000</v>
      </c>
      <c r="AK21">
        <f>2333210</f>
        <v>2333210</v>
      </c>
      <c r="AL21">
        <f>2245730</f>
        <v>2245730</v>
      </c>
      <c r="AM21">
        <f>2097600</f>
        <v>2097600</v>
      </c>
      <c r="AN21">
        <f>2038150</f>
        <v>2038150</v>
      </c>
      <c r="AO21">
        <f>1978470</f>
        <v>1978470</v>
      </c>
      <c r="AP21">
        <f>2119510</f>
        <v>2119510</v>
      </c>
      <c r="AQ21">
        <f>2015360</f>
        <v>2015360</v>
      </c>
      <c r="AR21">
        <f>1869390</f>
        <v>1869390</v>
      </c>
      <c r="AS21">
        <f>1678660</f>
        <v>1678660</v>
      </c>
      <c r="AT21">
        <f>1535640</f>
        <v>1535640</v>
      </c>
      <c r="AU21">
        <f>1396040</f>
        <v>1396040</v>
      </c>
      <c r="AV21">
        <f>1211570</f>
        <v>1211570</v>
      </c>
      <c r="AW21">
        <f>1157300</f>
        <v>1157300</v>
      </c>
      <c r="AX21">
        <f>1097720</f>
        <v>1097720</v>
      </c>
      <c r="AY21">
        <f>988515</f>
        <v>988515</v>
      </c>
      <c r="AZ21">
        <f>853632</f>
        <v>853632</v>
      </c>
      <c r="BA21">
        <f>807838</f>
        <v>807838</v>
      </c>
      <c r="BB21">
        <f>698891</f>
        <v>698891</v>
      </c>
      <c r="BC21">
        <f>657527</f>
        <v>657527</v>
      </c>
      <c r="BD21">
        <f>612615</f>
        <v>612615</v>
      </c>
      <c r="BE21">
        <f>550898</f>
        <v>550898</v>
      </c>
      <c r="BF21">
        <f>496974</f>
        <v>496974</v>
      </c>
      <c r="BG21">
        <f>493647</f>
        <v>493647</v>
      </c>
      <c r="BH21">
        <f>480491</f>
        <v>480491</v>
      </c>
      <c r="BI21">
        <f>446614</f>
        <v>446614</v>
      </c>
    </row>
    <row r="22" spans="1:61" x14ac:dyDescent="0.25">
      <c r="A22" t="str">
        <f>"            Passive Fixed Income Mutual Funds"</f>
        <v xml:space="preserve">            Passive Fixed Income Mutual Funds</v>
      </c>
      <c r="B22" t="str">
        <f>".BIAMPTF G Index"</f>
        <v>.BIAMPTF G Index</v>
      </c>
      <c r="C22" t="str">
        <f>"PR005"</f>
        <v>PR005</v>
      </c>
      <c r="D22" t="str">
        <f>"PX_LAST"</f>
        <v>PX_LAST</v>
      </c>
      <c r="E22" t="str">
        <f>"Dynamic"</f>
        <v>Dynamic</v>
      </c>
      <c r="F22">
        <f ca="1">IF(AND(ISNUMBER($F$83),$B$74=1),$F$83,HLOOKUP(INDIRECT(ADDRESS(2,COLUMN())),OFFSET($AH$2,0,0,ROW()-1,28),ROW()-1,FALSE))</f>
        <v>1064430</v>
      </c>
      <c r="G22">
        <f ca="1">IF(AND(ISNUMBER($G$83),$B$74=1),$G$83,HLOOKUP(INDIRECT(ADDRESS(2,COLUMN())),OFFSET($AH$2,0,0,ROW()-1,28),ROW()-1,FALSE))</f>
        <v>996272</v>
      </c>
      <c r="H22">
        <f ca="1">IF(AND(ISNUMBER($H$83),$B$74=1),$H$83,HLOOKUP(INDIRECT(ADDRESS(2,COLUMN())),OFFSET($AH$2,0,0,ROW()-1,28),ROW()-1,FALSE))</f>
        <v>959961</v>
      </c>
      <c r="I22">
        <f ca="1">IF(AND(ISNUMBER($I$83),$B$74=1),$I$83,HLOOKUP(INDIRECT(ADDRESS(2,COLUMN())),OFFSET($AH$2,0,0,ROW()-1,28),ROW()-1,FALSE))</f>
        <v>923523</v>
      </c>
      <c r="J22">
        <f ca="1">IF(AND(ISNUMBER($J$83),$B$74=1),$J$83,HLOOKUP(INDIRECT(ADDRESS(2,COLUMN())),OFFSET($AH$2,0,0,ROW()-1,28),ROW()-1,FALSE))</f>
        <v>894646</v>
      </c>
      <c r="K22">
        <f ca="1">IF(AND(ISNUMBER($K$83),$B$74=1),$K$83,HLOOKUP(INDIRECT(ADDRESS(2,COLUMN())),OFFSET($AH$2,0,0,ROW()-1,28),ROW()-1,FALSE))</f>
        <v>839082</v>
      </c>
      <c r="L22">
        <f ca="1">IF(AND(ISNUMBER($L$83),$B$74=1),$L$83,HLOOKUP(INDIRECT(ADDRESS(2,COLUMN())),OFFSET($AH$2,0,0,ROW()-1,28),ROW()-1,FALSE))</f>
        <v>873651</v>
      </c>
      <c r="M22">
        <f ca="1">IF(AND(ISNUMBER($M$83),$B$74=1),$M$83,HLOOKUP(INDIRECT(ADDRESS(2,COLUMN())),OFFSET($AH$2,0,0,ROW()-1,28),ROW()-1,FALSE))</f>
        <v>894269</v>
      </c>
      <c r="N22">
        <f ca="1">IF(AND(ISNUMBER($N$83),$B$74=1),$N$83,HLOOKUP(INDIRECT(ADDRESS(2,COLUMN())),OFFSET($AH$2,0,0,ROW()-1,28),ROW()-1,FALSE))</f>
        <v>988790</v>
      </c>
      <c r="O22">
        <f ca="1">IF(AND(ISNUMBER($O$83),$B$74=1),$O$83,HLOOKUP(INDIRECT(ADDRESS(2,COLUMN())),OFFSET($AH$2,0,0,ROW()-1,28),ROW()-1,FALSE))</f>
        <v>952353</v>
      </c>
      <c r="P22">
        <f ca="1">IF(AND(ISNUMBER($P$83),$B$74=1),$P$83,HLOOKUP(INDIRECT(ADDRESS(2,COLUMN())),OFFSET($AH$2,0,0,ROW()-1,28),ROW()-1,FALSE))</f>
        <v>885143</v>
      </c>
      <c r="Q22">
        <f ca="1">IF(AND(ISNUMBER($Q$83),$B$74=1),$Q$83,HLOOKUP(INDIRECT(ADDRESS(2,COLUMN())),OFFSET($AH$2,0,0,ROW()-1,28),ROW()-1,FALSE))</f>
        <v>798710</v>
      </c>
      <c r="R22">
        <f ca="1">IF(AND(ISNUMBER($R$83),$B$74=1),$R$83,HLOOKUP(INDIRECT(ADDRESS(2,COLUMN())),OFFSET($AH$2,0,0,ROW()-1,28),ROW()-1,FALSE))</f>
        <v>762238</v>
      </c>
      <c r="S22">
        <f ca="1">IF(AND(ISNUMBER($S$83),$B$74=1),$S$83,HLOOKUP(INDIRECT(ADDRESS(2,COLUMN())),OFFSET($AH$2,0,0,ROW()-1,28),ROW()-1,FALSE))</f>
        <v>698961</v>
      </c>
      <c r="T22">
        <f ca="1">IF(AND(ISNUMBER($T$83),$B$74=1),$T$83,HLOOKUP(INDIRECT(ADDRESS(2,COLUMN())),OFFSET($AH$2,0,0,ROW()-1,28),ROW()-1,FALSE))</f>
        <v>607361</v>
      </c>
      <c r="U22">
        <f ca="1">IF(AND(ISNUMBER($U$83),$B$74=1),$U$83,HLOOKUP(INDIRECT(ADDRESS(2,COLUMN())),OFFSET($AH$2,0,0,ROW()-1,28),ROW()-1,FALSE))</f>
        <v>584933</v>
      </c>
      <c r="V22">
        <f ca="1">IF(AND(ISNUMBER($V$83),$B$74=1),$V$83,HLOOKUP(INDIRECT(ADDRESS(2,COLUMN())),OFFSET($AH$2,0,0,ROW()-1,28),ROW()-1,FALSE))</f>
        <v>550444</v>
      </c>
      <c r="W22">
        <f ca="1">IF(AND(ISNUMBER($W$83),$B$74=1),$W$83,HLOOKUP(INDIRECT(ADDRESS(2,COLUMN())),OFFSET($AH$2,0,0,ROW()-1,28),ROW()-1,FALSE))</f>
        <v>491499</v>
      </c>
      <c r="X22">
        <f ca="1">IF(AND(ISNUMBER($X$83),$B$74=1),$X$83,HLOOKUP(INDIRECT(ADDRESS(2,COLUMN())),OFFSET($AH$2,0,0,ROW()-1,28),ROW()-1,FALSE))</f>
        <v>428727</v>
      </c>
      <c r="Y22">
        <f ca="1">IF(AND(ISNUMBER($Y$83),$B$74=1),$Y$83,HLOOKUP(INDIRECT(ADDRESS(2,COLUMN())),OFFSET($AH$2,0,0,ROW()-1,28),ROW()-1,FALSE))</f>
        <v>407902</v>
      </c>
      <c r="Z22">
        <f ca="1">IF(AND(ISNUMBER($Z$83),$B$74=1),$Z$83,HLOOKUP(INDIRECT(ADDRESS(2,COLUMN())),OFFSET($AH$2,0,0,ROW()-1,28),ROW()-1,FALSE))</f>
        <v>361081</v>
      </c>
      <c r="AA22">
        <f ca="1">IF(AND(ISNUMBER($AA$83),$B$74=1),$AA$83,HLOOKUP(INDIRECT(ADDRESS(2,COLUMN())),OFFSET($AH$2,0,0,ROW()-1,28),ROW()-1,FALSE))</f>
        <v>344167</v>
      </c>
      <c r="AB22">
        <f ca="1">IF(AND(ISNUMBER($AB$83),$B$74=1),$AB$83,HLOOKUP(INDIRECT(ADDRESS(2,COLUMN())),OFFSET($AH$2,0,0,ROW()-1,28),ROW()-1,FALSE))</f>
        <v>317917</v>
      </c>
      <c r="AC22">
        <f ca="1">IF(AND(ISNUMBER($AC$83),$B$74=1),$AC$83,HLOOKUP(INDIRECT(ADDRESS(2,COLUMN())),OFFSET($AH$2,0,0,ROW()-1,28),ROW()-1,FALSE))</f>
        <v>285168</v>
      </c>
      <c r="AD22">
        <f ca="1">IF(AND(ISNUMBER($AD$83),$B$74=1),$AD$83,HLOOKUP(INDIRECT(ADDRESS(2,COLUMN())),OFFSET($AH$2,0,0,ROW()-1,28),ROW()-1,FALSE))</f>
        <v>256712</v>
      </c>
      <c r="AE22">
        <f ca="1">IF(AND(ISNUMBER($AE$83),$B$74=1),$AE$83,HLOOKUP(INDIRECT(ADDRESS(2,COLUMN())),OFFSET($AH$2,0,0,ROW()-1,28),ROW()-1,FALSE))</f>
        <v>249403</v>
      </c>
      <c r="AF22">
        <f ca="1">IF(AND(ISNUMBER($AF$83),$B$74=1),$AF$83,HLOOKUP(INDIRECT(ADDRESS(2,COLUMN())),OFFSET($AH$2,0,0,ROW()-1,28),ROW()-1,FALSE))</f>
        <v>237330</v>
      </c>
      <c r="AG22">
        <f ca="1">IF(AND(ISNUMBER($AG$83),$B$74=1),$AG$83,HLOOKUP(INDIRECT(ADDRESS(2,COLUMN())),OFFSET($AH$2,0,0,ROW()-1,28),ROW()-1,FALSE))</f>
        <v>220871</v>
      </c>
      <c r="AH22">
        <f>1064430</f>
        <v>1064430</v>
      </c>
      <c r="AI22">
        <f>996272</f>
        <v>996272</v>
      </c>
      <c r="AJ22">
        <f>959961</f>
        <v>959961</v>
      </c>
      <c r="AK22">
        <f>923523</f>
        <v>923523</v>
      </c>
      <c r="AL22">
        <f>894646</f>
        <v>894646</v>
      </c>
      <c r="AM22">
        <f>839082</f>
        <v>839082</v>
      </c>
      <c r="AN22">
        <f>873651</f>
        <v>873651</v>
      </c>
      <c r="AO22">
        <f>894269</f>
        <v>894269</v>
      </c>
      <c r="AP22">
        <f>988790</f>
        <v>988790</v>
      </c>
      <c r="AQ22">
        <f>952353</f>
        <v>952353</v>
      </c>
      <c r="AR22">
        <f>885143</f>
        <v>885143</v>
      </c>
      <c r="AS22">
        <f>798710</f>
        <v>798710</v>
      </c>
      <c r="AT22">
        <f>762238</f>
        <v>762238</v>
      </c>
      <c r="AU22">
        <f>698961</f>
        <v>698961</v>
      </c>
      <c r="AV22">
        <f>607361</f>
        <v>607361</v>
      </c>
      <c r="AW22">
        <f>584933</f>
        <v>584933</v>
      </c>
      <c r="AX22">
        <f>550444</f>
        <v>550444</v>
      </c>
      <c r="AY22">
        <f>491499</f>
        <v>491499</v>
      </c>
      <c r="AZ22">
        <f>428727</f>
        <v>428727</v>
      </c>
      <c r="BA22">
        <f>407902</f>
        <v>407902</v>
      </c>
      <c r="BB22">
        <f>361081</f>
        <v>361081</v>
      </c>
      <c r="BC22">
        <f>344167</f>
        <v>344167</v>
      </c>
      <c r="BD22">
        <f>317917</f>
        <v>317917</v>
      </c>
      <c r="BE22">
        <f>285168</f>
        <v>285168</v>
      </c>
      <c r="BF22">
        <f>256712</f>
        <v>256712</v>
      </c>
      <c r="BG22">
        <f>249403</f>
        <v>249403</v>
      </c>
      <c r="BH22">
        <f>237330</f>
        <v>237330</v>
      </c>
      <c r="BI22">
        <f>220871</f>
        <v>220871</v>
      </c>
    </row>
    <row r="23" spans="1:61" x14ac:dyDescent="0.25">
      <c r="A23" t="str">
        <f>"            Passive Fixed Income ETFs"</f>
        <v xml:space="preserve">            Passive Fixed Income ETFs</v>
      </c>
      <c r="B23" t="str">
        <f>""</f>
        <v/>
      </c>
      <c r="E23" t="str">
        <f>"Expression"</f>
        <v>Expression</v>
      </c>
      <c r="F23">
        <f ca="1">IF(AND($B$74=1,LEN($F$21) * LEN($F$22)&gt;0),$F$21-$F$22,HLOOKUP(INDIRECT(ADDRESS(2,COLUMN())),OFFSET($AH$2,0,0,ROW()-1,28),ROW()-1,FALSE))</f>
        <v>1763810</v>
      </c>
      <c r="G23">
        <f ca="1">IF(AND($B$74=1,LEN($G$21) * LEN($G$22)&gt;0),$G$21-$G$22,HLOOKUP(INDIRECT(ADDRESS(2,COLUMN())),OFFSET($AH$2,0,0,ROW()-1,28),ROW()-1,FALSE))</f>
        <v>1633288</v>
      </c>
      <c r="H23">
        <f ca="1">IF(AND($B$74=1,LEN($H$21) * LEN($H$22)&gt;0),$H$21-$H$22,HLOOKUP(INDIRECT(ADDRESS(2,COLUMN())),OFFSET($AH$2,0,0,ROW()-1,28),ROW()-1,FALSE))</f>
        <v>1508039</v>
      </c>
      <c r="I23">
        <f ca="1">IF(AND($B$74=1,LEN($I$21) * LEN($I$22)&gt;0),$I$21-$I$22,HLOOKUP(INDIRECT(ADDRESS(2,COLUMN())),OFFSET($AH$2,0,0,ROW()-1,28),ROW()-1,FALSE))</f>
        <v>1409687</v>
      </c>
      <c r="J23">
        <f ca="1">IF(AND($B$74=1,LEN($J$21) * LEN($J$22)&gt;0),$J$21-$J$22,HLOOKUP(INDIRECT(ADDRESS(2,COLUMN())),OFFSET($AH$2,0,0,ROW()-1,28),ROW()-1,FALSE))</f>
        <v>1351084</v>
      </c>
      <c r="K23">
        <f ca="1">IF(AND($B$74=1,LEN($K$21) * LEN($K$22)&gt;0),$K$21-$K$22,HLOOKUP(INDIRECT(ADDRESS(2,COLUMN())),OFFSET($AH$2,0,0,ROW()-1,28),ROW()-1,FALSE))</f>
        <v>1258518</v>
      </c>
      <c r="L23">
        <f ca="1">IF(AND($B$74=1,LEN($L$21) * LEN($L$22)&gt;0),$L$21-$L$22,HLOOKUP(INDIRECT(ADDRESS(2,COLUMN())),OFFSET($AH$2,0,0,ROW()-1,28),ROW()-1,FALSE))</f>
        <v>1164499</v>
      </c>
      <c r="M23">
        <f ca="1">IF(AND($B$74=1,LEN($M$21) * LEN($M$22)&gt;0),$M$21-$M$22,HLOOKUP(INDIRECT(ADDRESS(2,COLUMN())),OFFSET($AH$2,0,0,ROW()-1,28),ROW()-1,FALSE))</f>
        <v>1084201</v>
      </c>
      <c r="N23">
        <f ca="1">IF(AND($B$74=1,LEN($N$21) * LEN($N$22)&gt;0),$N$21-$N$22,HLOOKUP(INDIRECT(ADDRESS(2,COLUMN())),OFFSET($AH$2,0,0,ROW()-1,28),ROW()-1,FALSE))</f>
        <v>1130720</v>
      </c>
      <c r="O23">
        <f ca="1">IF(AND($B$74=1,LEN($O$21) * LEN($O$22)&gt;0),$O$21-$O$22,HLOOKUP(INDIRECT(ADDRESS(2,COLUMN())),OFFSET($AH$2,0,0,ROW()-1,28),ROW()-1,FALSE))</f>
        <v>1063007</v>
      </c>
      <c r="P23">
        <f ca="1">IF(AND($B$74=1,LEN($P$21) * LEN($P$22)&gt;0),$P$21-$P$22,HLOOKUP(INDIRECT(ADDRESS(2,COLUMN())),OFFSET($AH$2,0,0,ROW()-1,28),ROW()-1,FALSE))</f>
        <v>984247</v>
      </c>
      <c r="Q23">
        <f ca="1">IF(AND($B$74=1,LEN($Q$21) * LEN($Q$22)&gt;0),$Q$21-$Q$22,HLOOKUP(INDIRECT(ADDRESS(2,COLUMN())),OFFSET($AH$2,0,0,ROW()-1,28),ROW()-1,FALSE))</f>
        <v>879950</v>
      </c>
      <c r="R23">
        <f ca="1">IF(AND($B$74=1,LEN($R$21) * LEN($R$22)&gt;0),$R$21-$R$22,HLOOKUP(INDIRECT(ADDRESS(2,COLUMN())),OFFSET($AH$2,0,0,ROW()-1,28),ROW()-1,FALSE))</f>
        <v>773402</v>
      </c>
      <c r="S23">
        <f ca="1">IF(AND($B$74=1,LEN($S$21) * LEN($S$22)&gt;0),$S$21-$S$22,HLOOKUP(INDIRECT(ADDRESS(2,COLUMN())),OFFSET($AH$2,0,0,ROW()-1,28),ROW()-1,FALSE))</f>
        <v>697079</v>
      </c>
      <c r="T23">
        <f ca="1">IF(AND($B$74=1,LEN($T$21) * LEN($T$22)&gt;0),$T$21-$T$22,HLOOKUP(INDIRECT(ADDRESS(2,COLUMN())),OFFSET($AH$2,0,0,ROW()-1,28),ROW()-1,FALSE))</f>
        <v>604209</v>
      </c>
      <c r="U23">
        <f ca="1">IF(AND($B$74=1,LEN($U$21) * LEN($U$22)&gt;0),$U$21-$U$22,HLOOKUP(INDIRECT(ADDRESS(2,COLUMN())),OFFSET($AH$2,0,0,ROW()-1,28),ROW()-1,FALSE))</f>
        <v>572367</v>
      </c>
      <c r="V23">
        <f ca="1">IF(AND($B$74=1,LEN($V$21) * LEN($V$22)&gt;0),$V$21-$V$22,HLOOKUP(INDIRECT(ADDRESS(2,COLUMN())),OFFSET($AH$2,0,0,ROW()-1,28),ROW()-1,FALSE))</f>
        <v>547276</v>
      </c>
      <c r="W23">
        <f ca="1">IF(AND($B$74=1,LEN($W$21) * LEN($W$22)&gt;0),$W$21-$W$22,HLOOKUP(INDIRECT(ADDRESS(2,COLUMN())),OFFSET($AH$2,0,0,ROW()-1,28),ROW()-1,FALSE))</f>
        <v>497016</v>
      </c>
      <c r="X23">
        <f ca="1">IF(AND($B$74=1,LEN($X$21) * LEN($X$22)&gt;0),$X$21-$X$22,HLOOKUP(INDIRECT(ADDRESS(2,COLUMN())),OFFSET($AH$2,0,0,ROW()-1,28),ROW()-1,FALSE))</f>
        <v>424905</v>
      </c>
      <c r="Y23">
        <f ca="1">IF(AND($B$74=1,LEN($Y$21) * LEN($Y$22)&gt;0),$Y$21-$Y$22,HLOOKUP(INDIRECT(ADDRESS(2,COLUMN())),OFFSET($AH$2,0,0,ROW()-1,28),ROW()-1,FALSE))</f>
        <v>399936</v>
      </c>
      <c r="Z23">
        <f ca="1">IF(AND($B$74=1,LEN($Z$21) * LEN($Z$22)&gt;0),$Z$21-$Z$22,HLOOKUP(INDIRECT(ADDRESS(2,COLUMN())),OFFSET($AH$2,0,0,ROW()-1,28),ROW()-1,FALSE))</f>
        <v>337810</v>
      </c>
      <c r="AA23">
        <f ca="1">IF(AND($B$74=1,LEN($AA$21) * LEN($AA$22)&gt;0),$AA$21-$AA$22,HLOOKUP(INDIRECT(ADDRESS(2,COLUMN())),OFFSET($AH$2,0,0,ROW()-1,28),ROW()-1,FALSE))</f>
        <v>313360</v>
      </c>
      <c r="AB23">
        <f ca="1">IF(AND($B$74=1,LEN($AB$21) * LEN($AB$22)&gt;0),$AB$21-$AB$22,HLOOKUP(INDIRECT(ADDRESS(2,COLUMN())),OFFSET($AH$2,0,0,ROW()-1,28),ROW()-1,FALSE))</f>
        <v>294698</v>
      </c>
      <c r="AC23">
        <f ca="1">IF(AND($B$74=1,LEN($AC$21) * LEN($AC$22)&gt;0),$AC$21-$AC$22,HLOOKUP(INDIRECT(ADDRESS(2,COLUMN())),OFFSET($AH$2,0,0,ROW()-1,28),ROW()-1,FALSE))</f>
        <v>265730</v>
      </c>
      <c r="AD23">
        <f ca="1">IF(AND($B$74=1,LEN($AD$21) * LEN($AD$22)&gt;0),$AD$21-$AD$22,HLOOKUP(INDIRECT(ADDRESS(2,COLUMN())),OFFSET($AH$2,0,0,ROW()-1,28),ROW()-1,FALSE))</f>
        <v>240262</v>
      </c>
      <c r="AE23">
        <f ca="1">IF(AND($B$74=1,LEN($AE$21) * LEN($AE$22)&gt;0),$AE$21-$AE$22,HLOOKUP(INDIRECT(ADDRESS(2,COLUMN())),OFFSET($AH$2,0,0,ROW()-1,28),ROW()-1,FALSE))</f>
        <v>244244</v>
      </c>
      <c r="AF23">
        <f ca="1">IF(AND($B$74=1,LEN($AF$21) * LEN($AF$22)&gt;0),$AF$21-$AF$22,HLOOKUP(INDIRECT(ADDRESS(2,COLUMN())),OFFSET($AH$2,0,0,ROW()-1,28),ROW()-1,FALSE))</f>
        <v>243161</v>
      </c>
      <c r="AG23">
        <f ca="1">IF(AND($B$74=1,LEN($AG$21) * LEN($AG$22)&gt;0),$AG$21-$AG$22,HLOOKUP(INDIRECT(ADDRESS(2,COLUMN())),OFFSET($AH$2,0,0,ROW()-1,28),ROW()-1,FALSE))</f>
        <v>225743</v>
      </c>
      <c r="AH23">
        <f>1763810</f>
        <v>1763810</v>
      </c>
      <c r="AI23">
        <f>1633288</f>
        <v>1633288</v>
      </c>
      <c r="AJ23">
        <f>1508039</f>
        <v>1508039</v>
      </c>
      <c r="AK23">
        <f>1409687</f>
        <v>1409687</v>
      </c>
      <c r="AL23">
        <f>1351084</f>
        <v>1351084</v>
      </c>
      <c r="AM23">
        <f>1258518</f>
        <v>1258518</v>
      </c>
      <c r="AN23">
        <f>1164499</f>
        <v>1164499</v>
      </c>
      <c r="AO23">
        <f>1084201</f>
        <v>1084201</v>
      </c>
      <c r="AP23">
        <f>1130720</f>
        <v>1130720</v>
      </c>
      <c r="AQ23">
        <f>1063007</f>
        <v>1063007</v>
      </c>
      <c r="AR23">
        <f>984247</f>
        <v>984247</v>
      </c>
      <c r="AS23">
        <f>879950</f>
        <v>879950</v>
      </c>
      <c r="AT23">
        <f>773402</f>
        <v>773402</v>
      </c>
      <c r="AU23">
        <f>697079</f>
        <v>697079</v>
      </c>
      <c r="AV23">
        <f>604209</f>
        <v>604209</v>
      </c>
      <c r="AW23">
        <f>572367</f>
        <v>572367</v>
      </c>
      <c r="AX23">
        <f>547276</f>
        <v>547276</v>
      </c>
      <c r="AY23">
        <f>497016</f>
        <v>497016</v>
      </c>
      <c r="AZ23">
        <f>424905</f>
        <v>424905</v>
      </c>
      <c r="BA23">
        <f>399936</f>
        <v>399936</v>
      </c>
      <c r="BB23">
        <f>337810</f>
        <v>337810</v>
      </c>
      <c r="BC23">
        <f>313360</f>
        <v>313360</v>
      </c>
      <c r="BD23">
        <f>294698</f>
        <v>294698</v>
      </c>
      <c r="BE23">
        <f>265730</f>
        <v>265730</v>
      </c>
      <c r="BF23">
        <f>240262</f>
        <v>240262</v>
      </c>
      <c r="BG23">
        <f>244244</f>
        <v>244244</v>
      </c>
      <c r="BH23">
        <f>243161</f>
        <v>243161</v>
      </c>
      <c r="BI23">
        <f>225743</f>
        <v>225743</v>
      </c>
    </row>
    <row r="24" spans="1:61" x14ac:dyDescent="0.25">
      <c r="A24" t="str">
        <f>"        Active Fixed Income"</f>
        <v xml:space="preserve">        Active Fixed Income</v>
      </c>
      <c r="B24" t="str">
        <f>".BIATATF G Index"</f>
        <v>.BIATATF G Index</v>
      </c>
      <c r="C24" t="str">
        <f>"PR005"</f>
        <v>PR005</v>
      </c>
      <c r="D24" t="str">
        <f>"PX_LAST"</f>
        <v>PX_LAST</v>
      </c>
      <c r="E24" t="str">
        <f>"Dynamic"</f>
        <v>Dynamic</v>
      </c>
      <c r="F24">
        <f ca="1">IF(AND(ISNUMBER($F$84),$B$74=1),$F$84,HLOOKUP(INDIRECT(ADDRESS(2,COLUMN())),OFFSET($AH$2,0,0,ROW()-1,28),ROW()-1,FALSE))</f>
        <v>4516140</v>
      </c>
      <c r="G24">
        <f ca="1">IF(AND(ISNUMBER($G$84),$B$74=1),$G$84,HLOOKUP(INDIRECT(ADDRESS(2,COLUMN())),OFFSET($AH$2,0,0,ROW()-1,28),ROW()-1,FALSE))</f>
        <v>4256020</v>
      </c>
      <c r="H24">
        <f ca="1">IF(AND(ISNUMBER($H$84),$B$74=1),$H$84,HLOOKUP(INDIRECT(ADDRESS(2,COLUMN())),OFFSET($AH$2,0,0,ROW()-1,28),ROW()-1,FALSE))</f>
        <v>4104320</v>
      </c>
      <c r="I24">
        <f ca="1">IF(AND(ISNUMBER($I$84),$B$74=1),$I$84,HLOOKUP(INDIRECT(ADDRESS(2,COLUMN())),OFFSET($AH$2,0,0,ROW()-1,28),ROW()-1,FALSE))</f>
        <v>3898650</v>
      </c>
      <c r="J24">
        <f ca="1">IF(AND(ISNUMBER($J$84),$B$74=1),$J$84,HLOOKUP(INDIRECT(ADDRESS(2,COLUMN())),OFFSET($AH$2,0,0,ROW()-1,28),ROW()-1,FALSE))</f>
        <v>3757540</v>
      </c>
      <c r="K24">
        <f ca="1">IF(AND(ISNUMBER($K$84),$B$74=1),$K$84,HLOOKUP(INDIRECT(ADDRESS(2,COLUMN())),OFFSET($AH$2,0,0,ROW()-1,28),ROW()-1,FALSE))</f>
        <v>3655970</v>
      </c>
      <c r="L24">
        <f ca="1">IF(AND(ISNUMBER($L$84),$B$74=1),$L$84,HLOOKUP(INDIRECT(ADDRESS(2,COLUMN())),OFFSET($AH$2,0,0,ROW()-1,28),ROW()-1,FALSE))</f>
        <v>3572680</v>
      </c>
      <c r="M24">
        <f ca="1">IF(AND(ISNUMBER($M$84),$B$74=1),$M$84,HLOOKUP(INDIRECT(ADDRESS(2,COLUMN())),OFFSET($AH$2,0,0,ROW()-1,28),ROW()-1,FALSE))</f>
        <v>3839850</v>
      </c>
      <c r="N24">
        <f ca="1">IF(AND(ISNUMBER($N$84),$B$74=1),$N$84,HLOOKUP(INDIRECT(ADDRESS(2,COLUMN())),OFFSET($AH$2,0,0,ROW()-1,28),ROW()-1,FALSE))</f>
        <v>4525540</v>
      </c>
      <c r="O24">
        <f ca="1">IF(AND(ISNUMBER($O$84),$B$74=1),$O$84,HLOOKUP(INDIRECT(ADDRESS(2,COLUMN())),OFFSET($AH$2,0,0,ROW()-1,28),ROW()-1,FALSE))</f>
        <v>4407500</v>
      </c>
      <c r="P24">
        <f ca="1">IF(AND(ISNUMBER($P$84),$B$74=1),$P$84,HLOOKUP(INDIRECT(ADDRESS(2,COLUMN())),OFFSET($AH$2,0,0,ROW()-1,28),ROW()-1,FALSE))</f>
        <v>4130030</v>
      </c>
      <c r="Q24">
        <f ca="1">IF(AND(ISNUMBER($Q$84),$B$74=1),$Q$84,HLOOKUP(INDIRECT(ADDRESS(2,COLUMN())),OFFSET($AH$2,0,0,ROW()-1,28),ROW()-1,FALSE))</f>
        <v>3715940</v>
      </c>
      <c r="R24">
        <f ca="1">IF(AND(ISNUMBER($R$84),$B$74=1),$R$84,HLOOKUP(INDIRECT(ADDRESS(2,COLUMN())),OFFSET($AH$2,0,0,ROW()-1,28),ROW()-1,FALSE))</f>
        <v>3656510</v>
      </c>
      <c r="S24">
        <f ca="1">IF(AND(ISNUMBER($S$84),$B$74=1),$S$84,HLOOKUP(INDIRECT(ADDRESS(2,COLUMN())),OFFSET($AH$2,0,0,ROW()-1,28),ROW()-1,FALSE))</f>
        <v>3341160</v>
      </c>
      <c r="T24">
        <f ca="1">IF(AND(ISNUMBER($T$84),$B$74=1),$T$84,HLOOKUP(INDIRECT(ADDRESS(2,COLUMN())),OFFSET($AH$2,0,0,ROW()-1,28),ROW()-1,FALSE))</f>
        <v>3103490</v>
      </c>
      <c r="U24">
        <f ca="1">IF(AND(ISNUMBER($U$84),$B$74=1),$U$84,HLOOKUP(INDIRECT(ADDRESS(2,COLUMN())),OFFSET($AH$2,0,0,ROW()-1,28),ROW()-1,FALSE))</f>
        <v>3166780</v>
      </c>
      <c r="V24">
        <f ca="1">IF(AND(ISNUMBER($V$84),$B$74=1),$V$84,HLOOKUP(INDIRECT(ADDRESS(2,COLUMN())),OFFSET($AH$2,0,0,ROW()-1,28),ROW()-1,FALSE))</f>
        <v>3105680</v>
      </c>
      <c r="W24">
        <f ca="1">IF(AND(ISNUMBER($W$84),$B$74=1),$W$84,HLOOKUP(INDIRECT(ADDRESS(2,COLUMN())),OFFSET($AH$2,0,0,ROW()-1,28),ROW()-1,FALSE))</f>
        <v>3000070</v>
      </c>
      <c r="X24">
        <f ca="1">IF(AND(ISNUMBER($X$84),$B$74=1),$X$84,HLOOKUP(INDIRECT(ADDRESS(2,COLUMN())),OFFSET($AH$2,0,0,ROW()-1,28),ROW()-1,FALSE))</f>
        <v>2814430</v>
      </c>
      <c r="Y24">
        <f ca="1">IF(AND(ISNUMBER($Y$84),$B$74=1),$Y$84,HLOOKUP(INDIRECT(ADDRESS(2,COLUMN())),OFFSET($AH$2,0,0,ROW()-1,28),ROW()-1,FALSE))</f>
        <v>2811760</v>
      </c>
      <c r="Z24">
        <f ca="1">IF(AND(ISNUMBER($Z$84),$B$74=1),$Z$84,HLOOKUP(INDIRECT(ADDRESS(2,COLUMN())),OFFSET($AH$2,0,0,ROW()-1,28),ROW()-1,FALSE))</f>
        <v>2636310</v>
      </c>
      <c r="AA24">
        <f ca="1">IF(AND(ISNUMBER($AA$84),$B$74=1),$AA$84,HLOOKUP(INDIRECT(ADDRESS(2,COLUMN())),OFFSET($AH$2,0,0,ROW()-1,28),ROW()-1,FALSE))</f>
        <v>2712500</v>
      </c>
      <c r="AB24">
        <f ca="1">IF(AND(ISNUMBER($AB$84),$B$74=1),$AB$84,HLOOKUP(INDIRECT(ADDRESS(2,COLUMN())),OFFSET($AH$2,0,0,ROW()-1,28),ROW()-1,FALSE))</f>
        <v>2695730</v>
      </c>
      <c r="AC24">
        <f ca="1">IF(AND(ISNUMBER($AC$84),$B$74=1),$AC$84,HLOOKUP(INDIRECT(ADDRESS(2,COLUMN())),OFFSET($AH$2,0,0,ROW()-1,28),ROW()-1,FALSE))</f>
        <v>2734580</v>
      </c>
      <c r="AD24">
        <f ca="1">IF(AND(ISNUMBER($AD$84),$B$74=1),$AD$84,HLOOKUP(INDIRECT(ADDRESS(2,COLUMN())),OFFSET($AH$2,0,0,ROW()-1,28),ROW()-1,FALSE))</f>
        <v>2562880</v>
      </c>
      <c r="AE24">
        <f ca="1">IF(AND(ISNUMBER($AE$84),$B$74=1),$AE$84,HLOOKUP(INDIRECT(ADDRESS(2,COLUMN())),OFFSET($AH$2,0,0,ROW()-1,28),ROW()-1,FALSE))</f>
        <v>2617750</v>
      </c>
      <c r="AF24">
        <f ca="1">IF(AND(ISNUMBER($AF$84),$B$74=1),$AF$84,HLOOKUP(INDIRECT(ADDRESS(2,COLUMN())),OFFSET($AH$2,0,0,ROW()-1,28),ROW()-1,FALSE))</f>
        <v>2617190</v>
      </c>
      <c r="AG24">
        <f ca="1">IF(AND(ISNUMBER($AG$84),$B$74=1),$AG$84,HLOOKUP(INDIRECT(ADDRESS(2,COLUMN())),OFFSET($AH$2,0,0,ROW()-1,28),ROW()-1,FALSE))</f>
        <v>2380370</v>
      </c>
      <c r="AH24">
        <f>4516140</f>
        <v>4516140</v>
      </c>
      <c r="AI24">
        <f>4256020</f>
        <v>4256020</v>
      </c>
      <c r="AJ24">
        <f>4104320</f>
        <v>4104320</v>
      </c>
      <c r="AK24">
        <f>3898650</f>
        <v>3898650</v>
      </c>
      <c r="AL24">
        <f>3757540</f>
        <v>3757540</v>
      </c>
      <c r="AM24">
        <f>3655970</f>
        <v>3655970</v>
      </c>
      <c r="AN24">
        <f>3572680</f>
        <v>3572680</v>
      </c>
      <c r="AO24">
        <f>3839850</f>
        <v>3839850</v>
      </c>
      <c r="AP24">
        <f>4525540</f>
        <v>4525540</v>
      </c>
      <c r="AQ24">
        <f>4407500</f>
        <v>4407500</v>
      </c>
      <c r="AR24">
        <f>4130030</f>
        <v>4130030</v>
      </c>
      <c r="AS24">
        <f>3715940</f>
        <v>3715940</v>
      </c>
      <c r="AT24">
        <f>3656510</f>
        <v>3656510</v>
      </c>
      <c r="AU24">
        <f>3341160</f>
        <v>3341160</v>
      </c>
      <c r="AV24">
        <f>3103490</f>
        <v>3103490</v>
      </c>
      <c r="AW24">
        <f>3166780</f>
        <v>3166780</v>
      </c>
      <c r="AX24">
        <f>3105680</f>
        <v>3105680</v>
      </c>
      <c r="AY24">
        <f>3000070</f>
        <v>3000070</v>
      </c>
      <c r="AZ24">
        <f>2814430</f>
        <v>2814430</v>
      </c>
      <c r="BA24">
        <f>2811760</f>
        <v>2811760</v>
      </c>
      <c r="BB24">
        <f>2636310</f>
        <v>2636310</v>
      </c>
      <c r="BC24">
        <f>2712500</f>
        <v>2712500</v>
      </c>
      <c r="BD24">
        <f>2695730</f>
        <v>2695730</v>
      </c>
      <c r="BE24">
        <f>2734580</f>
        <v>2734580</v>
      </c>
      <c r="BF24">
        <f>2562880</f>
        <v>2562880</v>
      </c>
      <c r="BG24">
        <f>2617750</f>
        <v>2617750</v>
      </c>
      <c r="BH24">
        <f>2617190</f>
        <v>2617190</v>
      </c>
      <c r="BI24">
        <f>2380370</f>
        <v>2380370</v>
      </c>
    </row>
    <row r="25" spans="1:61" x14ac:dyDescent="0.25">
      <c r="A25" t="str">
        <f>"            Active Fixed Income Mutual Funds"</f>
        <v xml:space="preserve">            Active Fixed Income Mutual Funds</v>
      </c>
      <c r="B25" t="str">
        <f>".BIAMATF G Index"</f>
        <v>.BIAMATF G Index</v>
      </c>
      <c r="C25" t="str">
        <f>"PR005"</f>
        <v>PR005</v>
      </c>
      <c r="D25" t="str">
        <f>"PX_LAST"</f>
        <v>PX_LAST</v>
      </c>
      <c r="E25" t="str">
        <f>"Dynamic"</f>
        <v>Dynamic</v>
      </c>
      <c r="F25">
        <f ca="1">IF(AND(ISNUMBER($F$85),$B$74=1),$F$85,HLOOKUP(INDIRECT(ADDRESS(2,COLUMN())),OFFSET($AH$2,0,0,ROW()-1,28),ROW()-1,FALSE))</f>
        <v>4098570</v>
      </c>
      <c r="G25">
        <f ca="1">IF(AND(ISNUMBER($G$85),$B$74=1),$G$85,HLOOKUP(INDIRECT(ADDRESS(2,COLUMN())),OFFSET($AH$2,0,0,ROW()-1,28),ROW()-1,FALSE))</f>
        <v>3908860</v>
      </c>
      <c r="H25">
        <f ca="1">IF(AND(ISNUMBER($H$85),$B$74=1),$H$85,HLOOKUP(INDIRECT(ADDRESS(2,COLUMN())),OFFSET($AH$2,0,0,ROW()-1,28),ROW()-1,FALSE))</f>
        <v>3821480</v>
      </c>
      <c r="I25">
        <f ca="1">IF(AND(ISNUMBER($I$85),$B$74=1),$I$85,HLOOKUP(INDIRECT(ADDRESS(2,COLUMN())),OFFSET($AH$2,0,0,ROW()-1,28),ROW()-1,FALSE))</f>
        <v>3680030</v>
      </c>
      <c r="J25">
        <f ca="1">IF(AND(ISNUMBER($J$85),$B$74=1),$J$85,HLOOKUP(INDIRECT(ADDRESS(2,COLUMN())),OFFSET($AH$2,0,0,ROW()-1,28),ROW()-1,FALSE))</f>
        <v>3579620</v>
      </c>
      <c r="K25">
        <f ca="1">IF(AND(ISNUMBER($K$85),$B$74=1),$K$85,HLOOKUP(INDIRECT(ADDRESS(2,COLUMN())),OFFSET($AH$2,0,0,ROW()-1,28),ROW()-1,FALSE))</f>
        <v>3504410</v>
      </c>
      <c r="L25">
        <f ca="1">IF(AND(ISNUMBER($L$85),$B$74=1),$L$85,HLOOKUP(INDIRECT(ADDRESS(2,COLUMN())),OFFSET($AH$2,0,0,ROW()-1,28),ROW()-1,FALSE))</f>
        <v>3431240</v>
      </c>
      <c r="M25">
        <f ca="1">IF(AND(ISNUMBER($M$85),$B$74=1),$M$85,HLOOKUP(INDIRECT(ADDRESS(2,COLUMN())),OFFSET($AH$2,0,0,ROW()-1,28),ROW()-1,FALSE))</f>
        <v>3703030</v>
      </c>
      <c r="N25">
        <f ca="1">IF(AND(ISNUMBER($N$85),$B$74=1),$N$85,HLOOKUP(INDIRECT(ADDRESS(2,COLUMN())),OFFSET($AH$2,0,0,ROW()-1,28),ROW()-1,FALSE))</f>
        <v>4387730</v>
      </c>
      <c r="O25">
        <f ca="1">IF(AND(ISNUMBER($O$85),$B$74=1),$O$85,HLOOKUP(INDIRECT(ADDRESS(2,COLUMN())),OFFSET($AH$2,0,0,ROW()-1,28),ROW()-1,FALSE))</f>
        <v>4281200</v>
      </c>
      <c r="P25">
        <f ca="1">IF(AND(ISNUMBER($P$85),$B$74=1),$P$85,HLOOKUP(INDIRECT(ADDRESS(2,COLUMN())),OFFSET($AH$2,0,0,ROW()-1,28),ROW()-1,FALSE))</f>
        <v>4022850</v>
      </c>
      <c r="Q25">
        <f ca="1">IF(AND(ISNUMBER($Q$85),$B$74=1),$Q$85,HLOOKUP(INDIRECT(ADDRESS(2,COLUMN())),OFFSET($AH$2,0,0,ROW()-1,28),ROW()-1,FALSE))</f>
        <v>3626530</v>
      </c>
      <c r="R25">
        <f ca="1">IF(AND(ISNUMBER($R$85),$B$74=1),$R$85,HLOOKUP(INDIRECT(ADDRESS(2,COLUMN())),OFFSET($AH$2,0,0,ROW()-1,28),ROW()-1,FALSE))</f>
        <v>3577620</v>
      </c>
      <c r="S25">
        <f ca="1">IF(AND(ISNUMBER($S$85),$B$74=1),$S$85,HLOOKUP(INDIRECT(ADDRESS(2,COLUMN())),OFFSET($AH$2,0,0,ROW()-1,28),ROW()-1,FALSE))</f>
        <v>3277930</v>
      </c>
      <c r="T25">
        <f ca="1">IF(AND(ISNUMBER($T$85),$B$74=1),$T$85,HLOOKUP(INDIRECT(ADDRESS(2,COLUMN())),OFFSET($AH$2,0,0,ROW()-1,28),ROW()-1,FALSE))</f>
        <v>3049260</v>
      </c>
      <c r="U25">
        <f ca="1">IF(AND(ISNUMBER($U$85),$B$74=1),$U$85,HLOOKUP(INDIRECT(ADDRESS(2,COLUMN())),OFFSET($AH$2,0,0,ROW()-1,28),ROW()-1,FALSE))</f>
        <v>3125610</v>
      </c>
      <c r="V25">
        <f ca="1">IF(AND(ISNUMBER($V$85),$B$74=1),$V$85,HLOOKUP(INDIRECT(ADDRESS(2,COLUMN())),OFFSET($AH$2,0,0,ROW()-1,28),ROW()-1,FALSE))</f>
        <v>3071860</v>
      </c>
      <c r="W25">
        <f ca="1">IF(AND(ISNUMBER($W$85),$B$74=1),$W$85,HLOOKUP(INDIRECT(ADDRESS(2,COLUMN())),OFFSET($AH$2,0,0,ROW()-1,28),ROW()-1,FALSE))</f>
        <v>2971380</v>
      </c>
      <c r="X25">
        <f ca="1">IF(AND(ISNUMBER($X$85),$B$74=1),$X$85,HLOOKUP(INDIRECT(ADDRESS(2,COLUMN())),OFFSET($AH$2,0,0,ROW()-1,28),ROW()-1,FALSE))</f>
        <v>2791210</v>
      </c>
      <c r="Y25">
        <f ca="1">IF(AND(ISNUMBER($Y$85),$B$74=1),$Y$85,HLOOKUP(INDIRECT(ADDRESS(2,COLUMN())),OFFSET($AH$2,0,0,ROW()-1,28),ROW()-1,FALSE))</f>
        <v>2792430</v>
      </c>
      <c r="Z25">
        <f ca="1">IF(AND(ISNUMBER($Z$85),$B$74=1),$Z$85,HLOOKUP(INDIRECT(ADDRESS(2,COLUMN())),OFFSET($AH$2,0,0,ROW()-1,28),ROW()-1,FALSE))</f>
        <v>2619830</v>
      </c>
      <c r="AA25">
        <f ca="1">IF(AND(ISNUMBER($AA$85),$B$74=1),$AA$85,HLOOKUP(INDIRECT(ADDRESS(2,COLUMN())),OFFSET($AH$2,0,0,ROW()-1,28),ROW()-1,FALSE))</f>
        <v>2699240</v>
      </c>
      <c r="AB25">
        <f ca="1">IF(AND(ISNUMBER($AB$85),$B$74=1),$AB$85,HLOOKUP(INDIRECT(ADDRESS(2,COLUMN())),OFFSET($AH$2,0,0,ROW()-1,28),ROW()-1,FALSE))</f>
        <v>2684290</v>
      </c>
      <c r="AC25">
        <f ca="1">IF(AND(ISNUMBER($AC$85),$B$74=1),$AC$85,HLOOKUP(INDIRECT(ADDRESS(2,COLUMN())),OFFSET($AH$2,0,0,ROW()-1,28),ROW()-1,FALSE))</f>
        <v>2722160</v>
      </c>
      <c r="AD25">
        <f ca="1">IF(AND(ISNUMBER($AD$85),$B$74=1),$AD$85,HLOOKUP(INDIRECT(ADDRESS(2,COLUMN())),OFFSET($AH$2,0,0,ROW()-1,28),ROW()-1,FALSE))</f>
        <v>2551860</v>
      </c>
      <c r="AE25">
        <f ca="1">IF(AND(ISNUMBER($AE$85),$B$74=1),$AE$85,HLOOKUP(INDIRECT(ADDRESS(2,COLUMN())),OFFSET($AH$2,0,0,ROW()-1,28),ROW()-1,FALSE))</f>
        <v>2606430</v>
      </c>
      <c r="AF25">
        <f ca="1">IF(AND(ISNUMBER($AF$85),$B$74=1),$AF$85,HLOOKUP(INDIRECT(ADDRESS(2,COLUMN())),OFFSET($AH$2,0,0,ROW()-1,28),ROW()-1,FALSE))</f>
        <v>2614920</v>
      </c>
      <c r="AG25">
        <f ca="1">IF(AND(ISNUMBER($AG$85),$B$74=1),$AG$85,HLOOKUP(INDIRECT(ADDRESS(2,COLUMN())),OFFSET($AH$2,0,0,ROW()-1,28),ROW()-1,FALSE))</f>
        <v>2374510</v>
      </c>
      <c r="AH25">
        <f>4098570</f>
        <v>4098570</v>
      </c>
      <c r="AI25">
        <f>3908860</f>
        <v>3908860</v>
      </c>
      <c r="AJ25">
        <f>3821480</f>
        <v>3821480</v>
      </c>
      <c r="AK25">
        <f>3680030</f>
        <v>3680030</v>
      </c>
      <c r="AL25">
        <f>3579620</f>
        <v>3579620</v>
      </c>
      <c r="AM25">
        <f>3504410</f>
        <v>3504410</v>
      </c>
      <c r="AN25">
        <f>3431240</f>
        <v>3431240</v>
      </c>
      <c r="AO25">
        <f>3703030</f>
        <v>3703030</v>
      </c>
      <c r="AP25">
        <f>4387730</f>
        <v>4387730</v>
      </c>
      <c r="AQ25">
        <f>4281200</f>
        <v>4281200</v>
      </c>
      <c r="AR25">
        <f>4022850</f>
        <v>4022850</v>
      </c>
      <c r="AS25">
        <f>3626530</f>
        <v>3626530</v>
      </c>
      <c r="AT25">
        <f>3577620</f>
        <v>3577620</v>
      </c>
      <c r="AU25">
        <f>3277930</f>
        <v>3277930</v>
      </c>
      <c r="AV25">
        <f>3049260</f>
        <v>3049260</v>
      </c>
      <c r="AW25">
        <f>3125610</f>
        <v>3125610</v>
      </c>
      <c r="AX25">
        <f>3071860</f>
        <v>3071860</v>
      </c>
      <c r="AY25">
        <f>2971380</f>
        <v>2971380</v>
      </c>
      <c r="AZ25">
        <f>2791210</f>
        <v>2791210</v>
      </c>
      <c r="BA25">
        <f>2792430</f>
        <v>2792430</v>
      </c>
      <c r="BB25">
        <f>2619830</f>
        <v>2619830</v>
      </c>
      <c r="BC25">
        <f>2699240</f>
        <v>2699240</v>
      </c>
      <c r="BD25">
        <f>2684290</f>
        <v>2684290</v>
      </c>
      <c r="BE25">
        <f>2722160</f>
        <v>2722160</v>
      </c>
      <c r="BF25">
        <f>2551860</f>
        <v>2551860</v>
      </c>
      <c r="BG25">
        <f>2606430</f>
        <v>2606430</v>
      </c>
      <c r="BH25">
        <f>2614920</f>
        <v>2614920</v>
      </c>
      <c r="BI25">
        <f>2374510</f>
        <v>2374510</v>
      </c>
    </row>
    <row r="26" spans="1:61" x14ac:dyDescent="0.25">
      <c r="A26" t="str">
        <f>"            Active Fixed Income ETFs"</f>
        <v xml:space="preserve">            Active Fixed Income ETFs</v>
      </c>
      <c r="B26" t="str">
        <f>""</f>
        <v/>
      </c>
      <c r="E26" t="str">
        <f>"Expression"</f>
        <v>Expression</v>
      </c>
      <c r="F26">
        <f ca="1">IF(AND($B$74=1,LEN($F$24) * LEN($F$25)&gt;0),$F$24-$F$25,HLOOKUP(INDIRECT(ADDRESS(2,COLUMN())),OFFSET($AH$2,0,0,ROW()-1,28),ROW()-1,FALSE))</f>
        <v>417570</v>
      </c>
      <c r="G26">
        <f ca="1">IF(AND($B$74=1,LEN($G$24) * LEN($G$25)&gt;0),$G$24-$G$25,HLOOKUP(INDIRECT(ADDRESS(2,COLUMN())),OFFSET($AH$2,0,0,ROW()-1,28),ROW()-1,FALSE))</f>
        <v>347160</v>
      </c>
      <c r="H26">
        <f ca="1">IF(AND($B$74=1,LEN($H$24) * LEN($H$25)&gt;0),$H$24-$H$25,HLOOKUP(INDIRECT(ADDRESS(2,COLUMN())),OFFSET($AH$2,0,0,ROW()-1,28),ROW()-1,FALSE))</f>
        <v>282840</v>
      </c>
      <c r="I26">
        <f ca="1">IF(AND($B$74=1,LEN($I$24) * LEN($I$25)&gt;0),$I$24-$I$25,HLOOKUP(INDIRECT(ADDRESS(2,COLUMN())),OFFSET($AH$2,0,0,ROW()-1,28),ROW()-1,FALSE))</f>
        <v>218620</v>
      </c>
      <c r="J26">
        <f ca="1">IF(AND($B$74=1,LEN($J$24) * LEN($J$25)&gt;0),$J$24-$J$25,HLOOKUP(INDIRECT(ADDRESS(2,COLUMN())),OFFSET($AH$2,0,0,ROW()-1,28),ROW()-1,FALSE))</f>
        <v>177920</v>
      </c>
      <c r="K26">
        <f ca="1">IF(AND($B$74=1,LEN($K$24) * LEN($K$25)&gt;0),$K$24-$K$25,HLOOKUP(INDIRECT(ADDRESS(2,COLUMN())),OFFSET($AH$2,0,0,ROW()-1,28),ROW()-1,FALSE))</f>
        <v>151560</v>
      </c>
      <c r="L26">
        <f ca="1">IF(AND($B$74=1,LEN($L$24) * LEN($L$25)&gt;0),$L$24-$L$25,HLOOKUP(INDIRECT(ADDRESS(2,COLUMN())),OFFSET($AH$2,0,0,ROW()-1,28),ROW()-1,FALSE))</f>
        <v>141440</v>
      </c>
      <c r="M26">
        <f ca="1">IF(AND($B$74=1,LEN($M$24) * LEN($M$25)&gt;0),$M$24-$M$25,HLOOKUP(INDIRECT(ADDRESS(2,COLUMN())),OFFSET($AH$2,0,0,ROW()-1,28),ROW()-1,FALSE))</f>
        <v>136820</v>
      </c>
      <c r="N26">
        <f ca="1">IF(AND($B$74=1,LEN($N$24) * LEN($N$25)&gt;0),$N$24-$N$25,HLOOKUP(INDIRECT(ADDRESS(2,COLUMN())),OFFSET($AH$2,0,0,ROW()-1,28),ROW()-1,FALSE))</f>
        <v>137810</v>
      </c>
      <c r="O26">
        <f ca="1">IF(AND($B$74=1,LEN($O$24) * LEN($O$25)&gt;0),$O$24-$O$25,HLOOKUP(INDIRECT(ADDRESS(2,COLUMN())),OFFSET($AH$2,0,0,ROW()-1,28),ROW()-1,FALSE))</f>
        <v>126300</v>
      </c>
      <c r="P26">
        <f ca="1">IF(AND($B$74=1,LEN($P$24) * LEN($P$25)&gt;0),$P$24-$P$25,HLOOKUP(INDIRECT(ADDRESS(2,COLUMN())),OFFSET($AH$2,0,0,ROW()-1,28),ROW()-1,FALSE))</f>
        <v>107180</v>
      </c>
      <c r="Q26">
        <f ca="1">IF(AND($B$74=1,LEN($Q$24) * LEN($Q$25)&gt;0),$Q$24-$Q$25,HLOOKUP(INDIRECT(ADDRESS(2,COLUMN())),OFFSET($AH$2,0,0,ROW()-1,28),ROW()-1,FALSE))</f>
        <v>89410</v>
      </c>
      <c r="R26">
        <f ca="1">IF(AND($B$74=1,LEN($R$24) * LEN($R$25)&gt;0),$R$24-$R$25,HLOOKUP(INDIRECT(ADDRESS(2,COLUMN())),OFFSET($AH$2,0,0,ROW()-1,28),ROW()-1,FALSE))</f>
        <v>78890</v>
      </c>
      <c r="S26">
        <f ca="1">IF(AND($B$74=1,LEN($S$24) * LEN($S$25)&gt;0),$S$24-$S$25,HLOOKUP(INDIRECT(ADDRESS(2,COLUMN())),OFFSET($AH$2,0,0,ROW()-1,28),ROW()-1,FALSE))</f>
        <v>63230</v>
      </c>
      <c r="T26">
        <f ca="1">IF(AND($B$74=1,LEN($T$24) * LEN($T$25)&gt;0),$T$24-$T$25,HLOOKUP(INDIRECT(ADDRESS(2,COLUMN())),OFFSET($AH$2,0,0,ROW()-1,28),ROW()-1,FALSE))</f>
        <v>54230</v>
      </c>
      <c r="U26">
        <f ca="1">IF(AND($B$74=1,LEN($U$24) * LEN($U$25)&gt;0),$U$24-$U$25,HLOOKUP(INDIRECT(ADDRESS(2,COLUMN())),OFFSET($AH$2,0,0,ROW()-1,28),ROW()-1,FALSE))</f>
        <v>41170</v>
      </c>
      <c r="V26">
        <f ca="1">IF(AND($B$74=1,LEN($V$24) * LEN($V$25)&gt;0),$V$24-$V$25,HLOOKUP(INDIRECT(ADDRESS(2,COLUMN())),OFFSET($AH$2,0,0,ROW()-1,28),ROW()-1,FALSE))</f>
        <v>33820</v>
      </c>
      <c r="W26">
        <f ca="1">IF(AND($B$74=1,LEN($W$24) * LEN($W$25)&gt;0),$W$24-$W$25,HLOOKUP(INDIRECT(ADDRESS(2,COLUMN())),OFFSET($AH$2,0,0,ROW()-1,28),ROW()-1,FALSE))</f>
        <v>28690</v>
      </c>
      <c r="X26">
        <f ca="1">IF(AND($B$74=1,LEN($X$24) * LEN($X$25)&gt;0),$X$24-$X$25,HLOOKUP(INDIRECT(ADDRESS(2,COLUMN())),OFFSET($AH$2,0,0,ROW()-1,28),ROW()-1,FALSE))</f>
        <v>23220</v>
      </c>
      <c r="Y26">
        <f ca="1">IF(AND($B$74=1,LEN($Y$24) * LEN($Y$25)&gt;0),$Y$24-$Y$25,HLOOKUP(INDIRECT(ADDRESS(2,COLUMN())),OFFSET($AH$2,0,0,ROW()-1,28),ROW()-1,FALSE))</f>
        <v>19330</v>
      </c>
      <c r="Z26">
        <f ca="1">IF(AND($B$74=1,LEN($Z$24) * LEN($Z$25)&gt;0),$Z$24-$Z$25,HLOOKUP(INDIRECT(ADDRESS(2,COLUMN())),OFFSET($AH$2,0,0,ROW()-1,28),ROW()-1,FALSE))</f>
        <v>16480</v>
      </c>
      <c r="AA26">
        <f ca="1">IF(AND($B$74=1,LEN($AA$24) * LEN($AA$25)&gt;0),$AA$24-$AA$25,HLOOKUP(INDIRECT(ADDRESS(2,COLUMN())),OFFSET($AH$2,0,0,ROW()-1,28),ROW()-1,FALSE))</f>
        <v>13260</v>
      </c>
      <c r="AB26">
        <f ca="1">IF(AND($B$74=1,LEN($AB$24) * LEN($AB$25)&gt;0),$AB$24-$AB$25,HLOOKUP(INDIRECT(ADDRESS(2,COLUMN())),OFFSET($AH$2,0,0,ROW()-1,28),ROW()-1,FALSE))</f>
        <v>11440</v>
      </c>
      <c r="AC26">
        <f ca="1">IF(AND($B$74=1,LEN($AC$24) * LEN($AC$25)&gt;0),$AC$24-$AC$25,HLOOKUP(INDIRECT(ADDRESS(2,COLUMN())),OFFSET($AH$2,0,0,ROW()-1,28),ROW()-1,FALSE))</f>
        <v>12420</v>
      </c>
      <c r="AD26">
        <f ca="1">IF(AND($B$74=1,LEN($AD$24) * LEN($AD$25)&gt;0),$AD$24-$AD$25,HLOOKUP(INDIRECT(ADDRESS(2,COLUMN())),OFFSET($AH$2,0,0,ROW()-1,28),ROW()-1,FALSE))</f>
        <v>11020</v>
      </c>
      <c r="AE26">
        <f ca="1">IF(AND($B$74=1,LEN($AE$24) * LEN($AE$25)&gt;0),$AE$24-$AE$25,HLOOKUP(INDIRECT(ADDRESS(2,COLUMN())),OFFSET($AH$2,0,0,ROW()-1,28),ROW()-1,FALSE))</f>
        <v>11320</v>
      </c>
      <c r="AF26">
        <f ca="1">IF(AND($B$74=1,LEN($AF$24) * LEN($AF$25)&gt;0),$AF$24-$AF$25,HLOOKUP(INDIRECT(ADDRESS(2,COLUMN())),OFFSET($AH$2,0,0,ROW()-1,28),ROW()-1,FALSE))</f>
        <v>2270</v>
      </c>
      <c r="AG26">
        <f ca="1">IF(AND($B$74=1,LEN($AG$24) * LEN($AG$25)&gt;0),$AG$24-$AG$25,HLOOKUP(INDIRECT(ADDRESS(2,COLUMN())),OFFSET($AH$2,0,0,ROW()-1,28),ROW()-1,FALSE))</f>
        <v>5860</v>
      </c>
      <c r="AH26">
        <f>417570</f>
        <v>417570</v>
      </c>
      <c r="AI26">
        <f>347160</f>
        <v>347160</v>
      </c>
      <c r="AJ26">
        <f>282840</f>
        <v>282840</v>
      </c>
      <c r="AK26">
        <f>218620</f>
        <v>218620</v>
      </c>
      <c r="AL26">
        <f>177920</f>
        <v>177920</v>
      </c>
      <c r="AM26">
        <f>151560</f>
        <v>151560</v>
      </c>
      <c r="AN26">
        <f>141440</f>
        <v>141440</v>
      </c>
      <c r="AO26">
        <f>136820</f>
        <v>136820</v>
      </c>
      <c r="AP26">
        <f>137810</f>
        <v>137810</v>
      </c>
      <c r="AQ26">
        <f>126300</f>
        <v>126300</v>
      </c>
      <c r="AR26">
        <f>107180</f>
        <v>107180</v>
      </c>
      <c r="AS26">
        <f>89410</f>
        <v>89410</v>
      </c>
      <c r="AT26">
        <f>78890</f>
        <v>78890</v>
      </c>
      <c r="AU26">
        <f>63230</f>
        <v>63230</v>
      </c>
      <c r="AV26">
        <f>54230</f>
        <v>54230</v>
      </c>
      <c r="AW26">
        <f>41170</f>
        <v>41170</v>
      </c>
      <c r="AX26">
        <f>33820</f>
        <v>33820</v>
      </c>
      <c r="AY26">
        <f>28690</f>
        <v>28690</v>
      </c>
      <c r="AZ26">
        <f>23220</f>
        <v>23220</v>
      </c>
      <c r="BA26">
        <f>19330</f>
        <v>19330</v>
      </c>
      <c r="BB26">
        <f>16480</f>
        <v>16480</v>
      </c>
      <c r="BC26">
        <f>13260</f>
        <v>13260</v>
      </c>
      <c r="BD26">
        <f>11440</f>
        <v>11440</v>
      </c>
      <c r="BE26">
        <f>12420</f>
        <v>12420</v>
      </c>
      <c r="BF26">
        <f>11020</f>
        <v>11020</v>
      </c>
      <c r="BG26">
        <f>11320</f>
        <v>11320</v>
      </c>
      <c r="BH26">
        <f>2270</f>
        <v>2270</v>
      </c>
      <c r="BI26">
        <f>5860</f>
        <v>5860</v>
      </c>
    </row>
    <row r="27" spans="1:61" x14ac:dyDescent="0.25">
      <c r="A27" t="str">
        <f>"    All Equity Funds"</f>
        <v xml:space="preserve">    All Equity Funds</v>
      </c>
      <c r="B27" t="str">
        <f>""</f>
        <v/>
      </c>
      <c r="E27" t="str">
        <f>"Sum"</f>
        <v>Sum</v>
      </c>
      <c r="F27">
        <f ca="1">IF(ISERROR(IF(SUM($F$28,$F$31) = 0, "", SUM($F$28,$F$31))), "", (IF(SUM($F$28,$F$31) = 0, "", SUM($F$28,$F$31))))</f>
        <v>25530950</v>
      </c>
      <c r="G27">
        <f ca="1">IF(ISERROR(IF(SUM($G$28,$G$31) = 0, "", SUM($G$28,$G$31))), "", (IF(SUM($G$28,$G$31) = 0, "", SUM($G$28,$G$31))))</f>
        <v>23719090</v>
      </c>
      <c r="H27">
        <f ca="1">IF(ISERROR(IF(SUM($H$28,$H$31) = 0, "", SUM($H$28,$H$31))), "", (IF(SUM($H$28,$H$31) = 0, "", SUM($H$28,$H$31))))</f>
        <v>22132960</v>
      </c>
      <c r="I27">
        <f ca="1">IF(ISERROR(IF(SUM($I$28,$I$31) = 0, "", SUM($I$28,$I$31))), "", (IF(SUM($I$28,$I$31) = 0, "", SUM($I$28,$I$31))))</f>
        <v>20835820</v>
      </c>
      <c r="J27">
        <f ca="1">IF(ISERROR(IF(SUM($J$28,$J$31) = 0, "", SUM($J$28,$J$31))), "", (IF(SUM($J$28,$J$31) = 0, "", SUM($J$28,$J$31))))</f>
        <v>18593930</v>
      </c>
      <c r="K27">
        <f ca="1">IF(ISERROR(IF(SUM($K$28,$K$31) = 0, "", SUM($K$28,$K$31))), "", (IF(SUM($K$28,$K$31) = 0, "", SUM($K$28,$K$31))))</f>
        <v>17290980</v>
      </c>
      <c r="L27">
        <f ca="1">IF(ISERROR(IF(SUM($L$28,$L$31) = 0, "", SUM($L$28,$L$31))), "", (IF(SUM($L$28,$L$31) = 0, "", SUM($L$28,$L$31))))</f>
        <v>15431320</v>
      </c>
      <c r="M27">
        <f ca="1">IF(ISERROR(IF(SUM($M$28,$M$31) = 0, "", SUM($M$28,$M$31))), "", (IF(SUM($M$28,$M$31) = 0, "", SUM($M$28,$M$31))))</f>
        <v>15231930</v>
      </c>
      <c r="N27">
        <f ca="1">IF(ISERROR(IF(SUM($N$28,$N$31) = 0, "", SUM($N$28,$N$31))), "", (IF(SUM($N$28,$N$31) = 0, "", SUM($N$28,$N$31))))</f>
        <v>19086040</v>
      </c>
      <c r="O27">
        <f ca="1">IF(ISERROR(IF(SUM($O$28,$O$31) = 0, "", SUM($O$28,$O$31))), "", (IF(SUM($O$28,$O$31) = 0, "", SUM($O$28,$O$31))))</f>
        <v>18009070</v>
      </c>
      <c r="P27">
        <f ca="1">IF(ISERROR(IF(SUM($P$28,$P$31) = 0, "", SUM($P$28,$P$31))), "", (IF(SUM($P$28,$P$31) = 0, "", SUM($P$28,$P$31))))</f>
        <v>15744970</v>
      </c>
      <c r="Q27">
        <f ca="1">IF(ISERROR(IF(SUM($Q$28,$Q$31) = 0, "", SUM($Q$28,$Q$31))), "", (IF(SUM($Q$28,$Q$31) = 0, "", SUM($Q$28,$Q$31))))</f>
        <v>12955210</v>
      </c>
      <c r="R27">
        <f ca="1">IF(ISERROR(IF(SUM($R$28,$R$31) = 0, "", SUM($R$28,$R$31))), "", (IF(SUM($R$28,$R$31) = 0, "", SUM($R$28,$R$31))))</f>
        <v>13649280</v>
      </c>
      <c r="S27">
        <f ca="1">IF(ISERROR(IF(SUM($S$28,$S$31) = 0, "", SUM($S$28,$S$31))), "", (IF(SUM($S$28,$S$31) = 0, "", SUM($S$28,$S$31))))</f>
        <v>12436480</v>
      </c>
      <c r="T27">
        <f ca="1">IF(ISERROR(IF(SUM($T$28,$T$31) = 0, "", SUM($T$28,$T$31))), "", (IF(SUM($T$28,$T$31) = 0, "", SUM($T$28,$T$31))))</f>
        <v>10701650</v>
      </c>
      <c r="U27">
        <f ca="1">IF(ISERROR(IF(SUM($U$28,$U$31) = 0, "", SUM($U$28,$U$31))), "", (IF(SUM($U$28,$U$31) = 0, "", SUM($U$28,$U$31))))</f>
        <v>12052510</v>
      </c>
      <c r="V27">
        <f ca="1">IF(ISERROR(IF(SUM($V$28,$V$31) = 0, "", SUM($V$28,$V$31))), "", (IF(SUM($V$28,$V$31) = 0, "", SUM($V$28,$V$31))))</f>
        <v>11768580</v>
      </c>
      <c r="W27">
        <f ca="1">IF(ISERROR(IF(SUM($W$28,$W$31) = 0, "", SUM($W$28,$W$31))), "", (IF(SUM($W$28,$W$31) = 0, "", SUM($W$28,$W$31))))</f>
        <v>10557740</v>
      </c>
      <c r="X27">
        <f ca="1">IF(ISERROR(IF(SUM($X$28,$X$31) = 0, "", SUM($X$28,$X$31))), "", (IF(SUM($X$28,$X$31) = 0, "", SUM($X$28,$X$31))))</f>
        <v>9345470</v>
      </c>
      <c r="Y27">
        <f ca="1">IF(ISERROR(IF(SUM($Y$28,$Y$31) = 0, "", SUM($Y$28,$Y$31))), "", (IF(SUM($Y$28,$Y$31) = 0, "", SUM($Y$28,$Y$31))))</f>
        <v>8726980</v>
      </c>
      <c r="Z27">
        <f ca="1">IF(ISERROR(IF(SUM($Z$28,$Z$31) = 0, "", SUM($Z$28,$Z$31))), "", (IF(SUM($Z$28,$Z$31) = 0, "", SUM($Z$28,$Z$31))))</f>
        <v>8466820</v>
      </c>
      <c r="AA27">
        <f ca="1">IF(ISERROR(IF(SUM($AA$28,$AA$31) = 0, "", SUM($AA$28,$AA$31))), "", (IF(SUM($AA$28,$AA$31) = 0, "", SUM($AA$28,$AA$31))))</f>
        <v>8919470</v>
      </c>
      <c r="AB27">
        <f ca="1">IF(ISERROR(IF(SUM($AB$28,$AB$31) = 0, "", SUM($AB$28,$AB$31))), "", (IF(SUM($AB$28,$AB$31) = 0, "", SUM($AB$28,$AB$31))))</f>
        <v>8488620</v>
      </c>
      <c r="AC27">
        <f ca="1">IF(ISERROR(IF(SUM($AC$28,$AC$31) = 0, "", SUM($AC$28,$AC$31))), "", (IF(SUM($AC$28,$AC$31) = 0, "", SUM($AC$28,$AC$31))))</f>
        <v>8356000</v>
      </c>
      <c r="AD27">
        <f ca="1">IF(ISERROR(IF(SUM($AD$28,$AD$31) = 0, "", SUM($AD$28,$AD$31))), "", (IF(SUM($AD$28,$AD$31) = 0, "", SUM($AD$28,$AD$31))))</f>
        <v>7626980</v>
      </c>
      <c r="AE27">
        <f ca="1">IF(ISERROR(IF(SUM($AE$28,$AE$31) = 0, "", SUM($AE$28,$AE$31))), "", (IF(SUM($AE$28,$AE$31) = 0, "", SUM($AE$28,$AE$31))))</f>
        <v>6422770</v>
      </c>
      <c r="AF27">
        <f ca="1">IF(ISERROR(IF(SUM($AF$28,$AF$31) = 0, "", SUM($AF$28,$AF$31))), "", (IF(SUM($AF$28,$AF$31) = 0, "", SUM($AF$28,$AF$31))))</f>
        <v>5603960</v>
      </c>
      <c r="AG27">
        <f ca="1">IF(ISERROR(IF(SUM($AG$28,$AG$31) = 0, "", SUM($AG$28,$AG$31))), "", (IF(SUM($AG$28,$AG$31) = 0, "", SUM($AG$28,$AG$31))))</f>
        <v>5092340</v>
      </c>
      <c r="AH27">
        <f>25530950</f>
        <v>25530950</v>
      </c>
      <c r="AI27">
        <f>23719090</f>
        <v>23719090</v>
      </c>
      <c r="AJ27">
        <f>22132960</f>
        <v>22132960</v>
      </c>
      <c r="AK27">
        <f>20835820</f>
        <v>20835820</v>
      </c>
      <c r="AL27">
        <f>18593930</f>
        <v>18593930</v>
      </c>
      <c r="AM27">
        <f>17290980</f>
        <v>17290980</v>
      </c>
      <c r="AN27">
        <f>15431320</f>
        <v>15431320</v>
      </c>
      <c r="AO27">
        <f>15231930</f>
        <v>15231930</v>
      </c>
      <c r="AP27">
        <f>19086040</f>
        <v>19086040</v>
      </c>
      <c r="AQ27">
        <f>18009070</f>
        <v>18009070</v>
      </c>
      <c r="AR27">
        <f>15744970</f>
        <v>15744970</v>
      </c>
      <c r="AS27">
        <f>12955210</f>
        <v>12955210</v>
      </c>
      <c r="AT27">
        <f>13649280</f>
        <v>13649280</v>
      </c>
      <c r="AU27">
        <f>12436480</f>
        <v>12436480</v>
      </c>
      <c r="AV27">
        <f>10701650</f>
        <v>10701650</v>
      </c>
      <c r="AW27">
        <f>12052510</f>
        <v>12052510</v>
      </c>
      <c r="AX27">
        <f>11768580</f>
        <v>11768580</v>
      </c>
      <c r="AY27">
        <f>10557740</f>
        <v>10557740</v>
      </c>
      <c r="AZ27">
        <f>9345470</f>
        <v>9345470</v>
      </c>
      <c r="BA27">
        <f>8726980</f>
        <v>8726980</v>
      </c>
      <c r="BB27">
        <f>8466820</f>
        <v>8466820</v>
      </c>
      <c r="BC27">
        <f>8919470</f>
        <v>8919470</v>
      </c>
      <c r="BD27">
        <f>8488620</f>
        <v>8488620</v>
      </c>
      <c r="BE27">
        <f>8356000</f>
        <v>8356000</v>
      </c>
      <c r="BF27">
        <f>7626980</f>
        <v>7626980</v>
      </c>
      <c r="BG27">
        <f>6422770</f>
        <v>6422770</v>
      </c>
      <c r="BH27">
        <f>5603960</f>
        <v>5603960</v>
      </c>
      <c r="BI27">
        <f>5092340</f>
        <v>5092340</v>
      </c>
    </row>
    <row r="28" spans="1:61" x14ac:dyDescent="0.25">
      <c r="A28" t="str">
        <f>"        Passive Equity"</f>
        <v xml:space="preserve">        Passive Equity</v>
      </c>
      <c r="B28" t="str">
        <f>".BIATPTE G Index"</f>
        <v>.BIATPTE G Index</v>
      </c>
      <c r="C28" t="str">
        <f>"PR005"</f>
        <v>PR005</v>
      </c>
      <c r="D28" t="str">
        <f>"PX_LAST"</f>
        <v>PX_LAST</v>
      </c>
      <c r="E28" t="str">
        <f>"Dynamic"</f>
        <v>Dynamic</v>
      </c>
      <c r="F28">
        <f ca="1">IF(AND(ISNUMBER($F$86),$B$74=1),$F$86,HLOOKUP(INDIRECT(ADDRESS(2,COLUMN())),OFFSET($AH$2,0,0,ROW()-1,28),ROW()-1,FALSE))</f>
        <v>15617700</v>
      </c>
      <c r="G28">
        <f ca="1">IF(AND(ISNUMBER($G$86),$B$74=1),$G$86,HLOOKUP(INDIRECT(ADDRESS(2,COLUMN())),OFFSET($AH$2,0,0,ROW()-1,28),ROW()-1,FALSE))</f>
        <v>14369200</v>
      </c>
      <c r="H28">
        <f ca="1">IF(AND(ISNUMBER($H$86),$B$74=1),$H$86,HLOOKUP(INDIRECT(ADDRESS(2,COLUMN())),OFFSET($AH$2,0,0,ROW()-1,28),ROW()-1,FALSE))</f>
        <v>13276200</v>
      </c>
      <c r="I28">
        <f ca="1">IF(AND(ISNUMBER($I$86),$B$74=1),$I$86,HLOOKUP(INDIRECT(ADDRESS(2,COLUMN())),OFFSET($AH$2,0,0,ROW()-1,28),ROW()-1,FALSE))</f>
        <v>12130800</v>
      </c>
      <c r="J28">
        <f ca="1">IF(AND(ISNUMBER($J$86),$B$74=1),$J$86,HLOOKUP(INDIRECT(ADDRESS(2,COLUMN())),OFFSET($AH$2,0,0,ROW()-1,28),ROW()-1,FALSE))</f>
        <v>10679200</v>
      </c>
      <c r="K28">
        <f ca="1">IF(AND(ISNUMBER($K$86),$B$74=1),$K$86,HLOOKUP(INDIRECT(ADDRESS(2,COLUMN())),OFFSET($AH$2,0,0,ROW()-1,28),ROW()-1,FALSE))</f>
        <v>9751170</v>
      </c>
      <c r="L28">
        <f ca="1">IF(AND(ISNUMBER($L$86),$B$74=1),$L$86,HLOOKUP(INDIRECT(ADDRESS(2,COLUMN())),OFFSET($AH$2,0,0,ROW()-1,28),ROW()-1,FALSE))</f>
        <v>8602860</v>
      </c>
      <c r="M28">
        <f ca="1">IF(AND(ISNUMBER($M$86),$B$74=1),$M$86,HLOOKUP(INDIRECT(ADDRESS(2,COLUMN())),OFFSET($AH$2,0,0,ROW()-1,28),ROW()-1,FALSE))</f>
        <v>8325310</v>
      </c>
      <c r="N28">
        <f ca="1">IF(AND(ISNUMBER($N$86),$B$74=1),$N$86,HLOOKUP(INDIRECT(ADDRESS(2,COLUMN())),OFFSET($AH$2,0,0,ROW()-1,28),ROW()-1,FALSE))</f>
        <v>10129600</v>
      </c>
      <c r="O28">
        <f ca="1">IF(AND(ISNUMBER($O$86),$B$74=1),$O$86,HLOOKUP(INDIRECT(ADDRESS(2,COLUMN())),OFFSET($AH$2,0,0,ROW()-1,28),ROW()-1,FALSE))</f>
        <v>9256220</v>
      </c>
      <c r="P28">
        <f ca="1">IF(AND(ISNUMBER($P$86),$B$74=1),$P$86,HLOOKUP(INDIRECT(ADDRESS(2,COLUMN())),OFFSET($AH$2,0,0,ROW()-1,28),ROW()-1,FALSE))</f>
        <v>7905190</v>
      </c>
      <c r="Q28">
        <f ca="1">IF(AND(ISNUMBER($Q$86),$B$74=1),$Q$86,HLOOKUP(INDIRECT(ADDRESS(2,COLUMN())),OFFSET($AH$2,0,0,ROW()-1,28),ROW()-1,FALSE))</f>
        <v>6407790</v>
      </c>
      <c r="R28">
        <f ca="1">IF(AND(ISNUMBER($R$86),$B$74=1),$R$86,HLOOKUP(INDIRECT(ADDRESS(2,COLUMN())),OFFSET($AH$2,0,0,ROW()-1,28),ROW()-1,FALSE))</f>
        <v>6773630</v>
      </c>
      <c r="S28">
        <f ca="1">IF(AND(ISNUMBER($S$86),$B$74=1),$S$86,HLOOKUP(INDIRECT(ADDRESS(2,COLUMN())),OFFSET($AH$2,0,0,ROW()-1,28),ROW()-1,FALSE))</f>
        <v>6125590</v>
      </c>
      <c r="T28">
        <f ca="1">IF(AND(ISNUMBER($T$86),$B$74=1),$T$86,HLOOKUP(INDIRECT(ADDRESS(2,COLUMN())),OFFSET($AH$2,0,0,ROW()-1,28),ROW()-1,FALSE))</f>
        <v>5173730</v>
      </c>
      <c r="U28">
        <f ca="1">IF(AND(ISNUMBER($U$86),$B$74=1),$U$86,HLOOKUP(INDIRECT(ADDRESS(2,COLUMN())),OFFSET($AH$2,0,0,ROW()-1,28),ROW()-1,FALSE))</f>
        <v>5524350</v>
      </c>
      <c r="V28">
        <f ca="1">IF(AND(ISNUMBER($V$86),$B$74=1),$V$86,HLOOKUP(INDIRECT(ADDRESS(2,COLUMN())),OFFSET($AH$2,0,0,ROW()-1,28),ROW()-1,FALSE))</f>
        <v>5348720</v>
      </c>
      <c r="W28">
        <f ca="1">IF(AND(ISNUMBER($W$86),$B$74=1),$W$86,HLOOKUP(INDIRECT(ADDRESS(2,COLUMN())),OFFSET($AH$2,0,0,ROW()-1,28),ROW()-1,FALSE))</f>
        <v>4629020</v>
      </c>
      <c r="X28">
        <f ca="1">IF(AND(ISNUMBER($X$86),$B$74=1),$X$86,HLOOKUP(INDIRECT(ADDRESS(2,COLUMN())),OFFSET($AH$2,0,0,ROW()-1,28),ROW()-1,FALSE))</f>
        <v>3957690</v>
      </c>
      <c r="Y28">
        <f ca="1">IF(AND(ISNUMBER($Y$86),$B$74=1),$Y$86,HLOOKUP(INDIRECT(ADDRESS(2,COLUMN())),OFFSET($AH$2,0,0,ROW()-1,28),ROW()-1,FALSE))</f>
        <v>3506500</v>
      </c>
      <c r="Z28">
        <f ca="1">IF(AND(ISNUMBER($Z$86),$B$74=1),$Z$86,HLOOKUP(INDIRECT(ADDRESS(2,COLUMN())),OFFSET($AH$2,0,0,ROW()-1,28),ROW()-1,FALSE))</f>
        <v>3303510</v>
      </c>
      <c r="AA28">
        <f ca="1">IF(AND(ISNUMBER($AA$86),$B$74=1),$AA$86,HLOOKUP(INDIRECT(ADDRESS(2,COLUMN())),OFFSET($AH$2,0,0,ROW()-1,28),ROW()-1,FALSE))</f>
        <v>3365620</v>
      </c>
      <c r="AB28">
        <f ca="1">IF(AND(ISNUMBER($AB$86),$B$74=1),$AB$86,HLOOKUP(INDIRECT(ADDRESS(2,COLUMN())),OFFSET($AH$2,0,0,ROW()-1,28),ROW()-1,FALSE))</f>
        <v>3124530</v>
      </c>
      <c r="AC28">
        <f ca="1">IF(AND(ISNUMBER($AC$86),$B$74=1),$AC$86,HLOOKUP(INDIRECT(ADDRESS(2,COLUMN())),OFFSET($AH$2,0,0,ROW()-1,28),ROW()-1,FALSE))</f>
        <v>2922420</v>
      </c>
      <c r="AD28">
        <f ca="1">IF(AND(ISNUMBER($AD$86),$B$74=1),$AD$86,HLOOKUP(INDIRECT(ADDRESS(2,COLUMN())),OFFSET($AH$2,0,0,ROW()-1,28),ROW()-1,FALSE))</f>
        <v>2621530</v>
      </c>
      <c r="AE28">
        <f ca="1">IF(AND(ISNUMBER($AE$86),$B$74=1),$AE$86,HLOOKUP(INDIRECT(ADDRESS(2,COLUMN())),OFFSET($AH$2,0,0,ROW()-1,28),ROW()-1,FALSE))</f>
        <v>2164890</v>
      </c>
      <c r="AF28">
        <f ca="1">IF(AND(ISNUMBER($AF$86),$B$74=1),$AF$86,HLOOKUP(INDIRECT(ADDRESS(2,COLUMN())),OFFSET($AH$2,0,0,ROW()-1,28),ROW()-1,FALSE))</f>
        <v>1850680</v>
      </c>
      <c r="AG28">
        <f ca="1">IF(AND(ISNUMBER($AG$86),$B$74=1),$AG$86,HLOOKUP(INDIRECT(ADDRESS(2,COLUMN())),OFFSET($AH$2,0,0,ROW()-1,28),ROW()-1,FALSE))</f>
        <v>1642830</v>
      </c>
      <c r="AH28">
        <f>15617700</f>
        <v>15617700</v>
      </c>
      <c r="AI28">
        <f>14369200</f>
        <v>14369200</v>
      </c>
      <c r="AJ28">
        <f>13276200</f>
        <v>13276200</v>
      </c>
      <c r="AK28">
        <f>12130800</f>
        <v>12130800</v>
      </c>
      <c r="AL28">
        <f>10679200</f>
        <v>10679200</v>
      </c>
      <c r="AM28">
        <f>9751170</f>
        <v>9751170</v>
      </c>
      <c r="AN28">
        <f>8602860</f>
        <v>8602860</v>
      </c>
      <c r="AO28">
        <f>8325310</f>
        <v>8325310</v>
      </c>
      <c r="AP28">
        <f>10129600</f>
        <v>10129600</v>
      </c>
      <c r="AQ28">
        <f>9256220</f>
        <v>9256220</v>
      </c>
      <c r="AR28">
        <f>7905190</f>
        <v>7905190</v>
      </c>
      <c r="AS28">
        <f>6407790</f>
        <v>6407790</v>
      </c>
      <c r="AT28">
        <f>6773630</f>
        <v>6773630</v>
      </c>
      <c r="AU28">
        <f>6125590</f>
        <v>6125590</v>
      </c>
      <c r="AV28">
        <f>5173730</f>
        <v>5173730</v>
      </c>
      <c r="AW28">
        <f>5524350</f>
        <v>5524350</v>
      </c>
      <c r="AX28">
        <f>5348720</f>
        <v>5348720</v>
      </c>
      <c r="AY28">
        <f>4629020</f>
        <v>4629020</v>
      </c>
      <c r="AZ28">
        <f>3957690</f>
        <v>3957690</v>
      </c>
      <c r="BA28">
        <f>3506500</f>
        <v>3506500</v>
      </c>
      <c r="BB28">
        <f>3303510</f>
        <v>3303510</v>
      </c>
      <c r="BC28">
        <f>3365620</f>
        <v>3365620</v>
      </c>
      <c r="BD28">
        <f>3124530</f>
        <v>3124530</v>
      </c>
      <c r="BE28">
        <f>2922420</f>
        <v>2922420</v>
      </c>
      <c r="BF28">
        <f>2621530</f>
        <v>2621530</v>
      </c>
      <c r="BG28">
        <f>2164890</f>
        <v>2164890</v>
      </c>
      <c r="BH28">
        <f>1850680</f>
        <v>1850680</v>
      </c>
      <c r="BI28">
        <f>1642830</f>
        <v>1642830</v>
      </c>
    </row>
    <row r="29" spans="1:61" x14ac:dyDescent="0.25">
      <c r="A29" t="str">
        <f>"            Passive Equity Mutual Funds"</f>
        <v xml:space="preserve">            Passive Equity Mutual Funds</v>
      </c>
      <c r="B29" t="str">
        <f>".BIAMPTE G Index"</f>
        <v>.BIAMPTE G Index</v>
      </c>
      <c r="C29" t="str">
        <f>"PR005"</f>
        <v>PR005</v>
      </c>
      <c r="D29" t="str">
        <f>"PX_LAST"</f>
        <v>PX_LAST</v>
      </c>
      <c r="E29" t="str">
        <f>"Dynamic"</f>
        <v>Dynamic</v>
      </c>
      <c r="F29">
        <f ca="1">IF(AND(ISNUMBER($F$87),$B$74=1),$F$87,HLOOKUP(INDIRECT(ADDRESS(2,COLUMN())),OFFSET($AH$2,0,0,ROW()-1,28),ROW()-1,FALSE))</f>
        <v>6211410</v>
      </c>
      <c r="G29">
        <f ca="1">IF(AND(ISNUMBER($G$87),$B$74=1),$G$87,HLOOKUP(INDIRECT(ADDRESS(2,COLUMN())),OFFSET($AH$2,0,0,ROW()-1,28),ROW()-1,FALSE))</f>
        <v>5989360</v>
      </c>
      <c r="H29">
        <f ca="1">IF(AND(ISNUMBER($H$87),$B$74=1),$H$87,HLOOKUP(INDIRECT(ADDRESS(2,COLUMN())),OFFSET($AH$2,0,0,ROW()-1,28),ROW()-1,FALSE))</f>
        <v>5581050</v>
      </c>
      <c r="I29">
        <f ca="1">IF(AND(ISNUMBER($I$87),$B$74=1),$I$87,HLOOKUP(INDIRECT(ADDRESS(2,COLUMN())),OFFSET($AH$2,0,0,ROW()-1,28),ROW()-1,FALSE))</f>
        <v>5220670</v>
      </c>
      <c r="J29">
        <f ca="1">IF(AND(ISNUMBER($J$87),$B$74=1),$J$87,HLOOKUP(INDIRECT(ADDRESS(2,COLUMN())),OFFSET($AH$2,0,0,ROW()-1,28),ROW()-1,FALSE))</f>
        <v>4646020</v>
      </c>
      <c r="K29">
        <f ca="1">IF(AND(ISNUMBER($K$87),$B$74=1),$K$87,HLOOKUP(INDIRECT(ADDRESS(2,COLUMN())),OFFSET($AH$2,0,0,ROW()-1,28),ROW()-1,FALSE))</f>
        <v>4313160</v>
      </c>
      <c r="L29">
        <f ca="1">IF(AND(ISNUMBER($L$87),$B$74=1),$L$87,HLOOKUP(INDIRECT(ADDRESS(2,COLUMN())),OFFSET($AH$2,0,0,ROW()-1,28),ROW()-1,FALSE))</f>
        <v>3760390</v>
      </c>
      <c r="M29">
        <f ca="1">IF(AND(ISNUMBER($M$87),$B$74=1),$M$87,HLOOKUP(INDIRECT(ADDRESS(2,COLUMN())),OFFSET($AH$2,0,0,ROW()-1,28),ROW()-1,FALSE))</f>
        <v>3679920</v>
      </c>
      <c r="N29">
        <f ca="1">IF(AND(ISNUMBER($N$87),$B$74=1),$N$87,HLOOKUP(INDIRECT(ADDRESS(2,COLUMN())),OFFSET($AH$2,0,0,ROW()-1,28),ROW()-1,FALSE))</f>
        <v>4567400</v>
      </c>
      <c r="O29">
        <f ca="1">IF(AND(ISNUMBER($O$87),$B$74=1),$O$87,HLOOKUP(INDIRECT(ADDRESS(2,COLUMN())),OFFSET($AH$2,0,0,ROW()-1,28),ROW()-1,FALSE))</f>
        <v>4234630</v>
      </c>
      <c r="P29">
        <f ca="1">IF(AND(ISNUMBER($P$87),$B$74=1),$P$87,HLOOKUP(INDIRECT(ADDRESS(2,COLUMN())),OFFSET($AH$2,0,0,ROW()-1,28),ROW()-1,FALSE))</f>
        <v>3739780</v>
      </c>
      <c r="Q29">
        <f ca="1">IF(AND(ISNUMBER($Q$87),$B$74=1),$Q$87,HLOOKUP(INDIRECT(ADDRESS(2,COLUMN())),OFFSET($AH$2,0,0,ROW()-1,28),ROW()-1,FALSE))</f>
        <v>3147480</v>
      </c>
      <c r="R29">
        <f ca="1">IF(AND(ISNUMBER($R$87),$B$74=1),$R$87,HLOOKUP(INDIRECT(ADDRESS(2,COLUMN())),OFFSET($AH$2,0,0,ROW()-1,28),ROW()-1,FALSE))</f>
        <v>3328280</v>
      </c>
      <c r="S29">
        <f ca="1">IF(AND(ISNUMBER($S$87),$B$74=1),$S$87,HLOOKUP(INDIRECT(ADDRESS(2,COLUMN())),OFFSET($AH$2,0,0,ROW()-1,28),ROW()-1,FALSE))</f>
        <v>3036650</v>
      </c>
      <c r="T29">
        <f ca="1">IF(AND(ISNUMBER($T$87),$B$74=1),$T$87,HLOOKUP(INDIRECT(ADDRESS(2,COLUMN())),OFFSET($AH$2,0,0,ROW()-1,28),ROW()-1,FALSE))</f>
        <v>2530790</v>
      </c>
      <c r="U29">
        <f ca="1">IF(AND(ISNUMBER($U$87),$B$74=1),$U$87,HLOOKUP(INDIRECT(ADDRESS(2,COLUMN())),OFFSET($AH$2,0,0,ROW()-1,28),ROW()-1,FALSE))</f>
        <v>2700240</v>
      </c>
      <c r="V29">
        <f ca="1">IF(AND(ISNUMBER($V$87),$B$74=1),$V$87,HLOOKUP(INDIRECT(ADDRESS(2,COLUMN())),OFFSET($AH$2,0,0,ROW()-1,28),ROW()-1,FALSE))</f>
        <v>2589410</v>
      </c>
      <c r="W29">
        <f ca="1">IF(AND(ISNUMBER($W$87),$B$74=1),$W$87,HLOOKUP(INDIRECT(ADDRESS(2,COLUMN())),OFFSET($AH$2,0,0,ROW()-1,28),ROW()-1,FALSE))</f>
        <v>2289600</v>
      </c>
      <c r="X29">
        <f ca="1">IF(AND(ISNUMBER($X$87),$B$74=1),$X$87,HLOOKUP(INDIRECT(ADDRESS(2,COLUMN())),OFFSET($AH$2,0,0,ROW()-1,28),ROW()-1,FALSE))</f>
        <v>1949350</v>
      </c>
      <c r="Y29">
        <f ca="1">IF(AND(ISNUMBER($Y$87),$B$74=1),$Y$87,HLOOKUP(INDIRECT(ADDRESS(2,COLUMN())),OFFSET($AH$2,0,0,ROW()-1,28),ROW()-1,FALSE))</f>
        <v>1785370</v>
      </c>
      <c r="Z29">
        <f ca="1">IF(AND(ISNUMBER($Z$87),$B$74=1),$Z$87,HLOOKUP(INDIRECT(ADDRESS(2,COLUMN())),OFFSET($AH$2,0,0,ROW()-1,28),ROW()-1,FALSE))</f>
        <v>1661420</v>
      </c>
      <c r="AA29">
        <f ca="1">IF(AND(ISNUMBER($AA$87),$B$74=1),$AA$87,HLOOKUP(INDIRECT(ADDRESS(2,COLUMN())),OFFSET($AH$2,0,0,ROW()-1,28),ROW()-1,FALSE))</f>
        <v>1666640</v>
      </c>
      <c r="AB29">
        <f ca="1">IF(AND(ISNUMBER($AB$87),$B$74=1),$AB$87,HLOOKUP(INDIRECT(ADDRESS(2,COLUMN())),OFFSET($AH$2,0,0,ROW()-1,28),ROW()-1,FALSE))</f>
        <v>1554910</v>
      </c>
      <c r="AC29">
        <f ca="1">IF(AND(ISNUMBER($AC$87),$B$74=1),$AC$87,HLOOKUP(INDIRECT(ADDRESS(2,COLUMN())),OFFSET($AH$2,0,0,ROW()-1,28),ROW()-1,FALSE))</f>
        <v>1460530</v>
      </c>
      <c r="AD29">
        <f ca="1">IF(AND(ISNUMBER($AD$87),$B$74=1),$AD$87,HLOOKUP(INDIRECT(ADDRESS(2,COLUMN())),OFFSET($AH$2,0,0,ROW()-1,28),ROW()-1,FALSE))</f>
        <v>1293670</v>
      </c>
      <c r="AE29">
        <f ca="1">IF(AND(ISNUMBER($AE$87),$B$74=1),$AE$87,HLOOKUP(INDIRECT(ADDRESS(2,COLUMN())),OFFSET($AH$2,0,0,ROW()-1,28),ROW()-1,FALSE))</f>
        <v>1078760</v>
      </c>
      <c r="AF29">
        <f ca="1">IF(AND(ISNUMBER($AF$87),$B$74=1),$AF$87,HLOOKUP(INDIRECT(ADDRESS(2,COLUMN())),OFFSET($AH$2,0,0,ROW()-1,28),ROW()-1,FALSE))</f>
        <v>921973</v>
      </c>
      <c r="AG29">
        <f ca="1">IF(AND(ISNUMBER($AG$87),$B$74=1),$AG$87,HLOOKUP(INDIRECT(ADDRESS(2,COLUMN())),OFFSET($AH$2,0,0,ROW()-1,28),ROW()-1,FALSE))</f>
        <v>834945</v>
      </c>
      <c r="AH29">
        <f>6211410</f>
        <v>6211410</v>
      </c>
      <c r="AI29">
        <f>5989360</f>
        <v>5989360</v>
      </c>
      <c r="AJ29">
        <f>5581050</f>
        <v>5581050</v>
      </c>
      <c r="AK29">
        <f>5220670</f>
        <v>5220670</v>
      </c>
      <c r="AL29">
        <f>4646020</f>
        <v>4646020</v>
      </c>
      <c r="AM29">
        <f>4313160</f>
        <v>4313160</v>
      </c>
      <c r="AN29">
        <f>3760390</f>
        <v>3760390</v>
      </c>
      <c r="AO29">
        <f>3679920</f>
        <v>3679920</v>
      </c>
      <c r="AP29">
        <f>4567400</f>
        <v>4567400</v>
      </c>
      <c r="AQ29">
        <f>4234630</f>
        <v>4234630</v>
      </c>
      <c r="AR29">
        <f>3739780</f>
        <v>3739780</v>
      </c>
      <c r="AS29">
        <f>3147480</f>
        <v>3147480</v>
      </c>
      <c r="AT29">
        <f>3328280</f>
        <v>3328280</v>
      </c>
      <c r="AU29">
        <f>3036650</f>
        <v>3036650</v>
      </c>
      <c r="AV29">
        <f>2530790</f>
        <v>2530790</v>
      </c>
      <c r="AW29">
        <f>2700240</f>
        <v>2700240</v>
      </c>
      <c r="AX29">
        <f>2589410</f>
        <v>2589410</v>
      </c>
      <c r="AY29">
        <f>2289600</f>
        <v>2289600</v>
      </c>
      <c r="AZ29">
        <f>1949350</f>
        <v>1949350</v>
      </c>
      <c r="BA29">
        <f>1785370</f>
        <v>1785370</v>
      </c>
      <c r="BB29">
        <f>1661420</f>
        <v>1661420</v>
      </c>
      <c r="BC29">
        <f>1666640</f>
        <v>1666640</v>
      </c>
      <c r="BD29">
        <f>1554910</f>
        <v>1554910</v>
      </c>
      <c r="BE29">
        <f>1460530</f>
        <v>1460530</v>
      </c>
      <c r="BF29">
        <f>1293670</f>
        <v>1293670</v>
      </c>
      <c r="BG29">
        <f>1078760</f>
        <v>1078760</v>
      </c>
      <c r="BH29">
        <f>921973</f>
        <v>921973</v>
      </c>
      <c r="BI29">
        <f>834945</f>
        <v>834945</v>
      </c>
    </row>
    <row r="30" spans="1:61" x14ac:dyDescent="0.25">
      <c r="A30" t="str">
        <f>"            Passive Equity ETFs"</f>
        <v xml:space="preserve">            Passive Equity ETFs</v>
      </c>
      <c r="B30" t="str">
        <f>""</f>
        <v/>
      </c>
      <c r="E30" t="str">
        <f>"Expression"</f>
        <v>Expression</v>
      </c>
      <c r="F30">
        <f ca="1">IF(AND($B$74=1,LEN($F$28) * LEN($F$29)&gt;0),$F$28-$F$29,HLOOKUP(INDIRECT(ADDRESS(2,COLUMN())),OFFSET($AH$2,0,0,ROW()-1,28),ROW()-1,FALSE))</f>
        <v>9406290</v>
      </c>
      <c r="G30">
        <f ca="1">IF(AND($B$74=1,LEN($G$28) * LEN($G$29)&gt;0),$G$28-$G$29,HLOOKUP(INDIRECT(ADDRESS(2,COLUMN())),OFFSET($AH$2,0,0,ROW()-1,28),ROW()-1,FALSE))</f>
        <v>8379840</v>
      </c>
      <c r="H30">
        <f ca="1">IF(AND($B$74=1,LEN($H$28) * LEN($H$29)&gt;0),$H$28-$H$29,HLOOKUP(INDIRECT(ADDRESS(2,COLUMN())),OFFSET($AH$2,0,0,ROW()-1,28),ROW()-1,FALSE))</f>
        <v>7695150</v>
      </c>
      <c r="I30">
        <f ca="1">IF(AND($B$74=1,LEN($I$28) * LEN($I$29)&gt;0),$I$28-$I$29,HLOOKUP(INDIRECT(ADDRESS(2,COLUMN())),OFFSET($AH$2,0,0,ROW()-1,28),ROW()-1,FALSE))</f>
        <v>6910130</v>
      </c>
      <c r="J30">
        <f ca="1">IF(AND($B$74=1,LEN($J$28) * LEN($J$29)&gt;0),$J$28-$J$29,HLOOKUP(INDIRECT(ADDRESS(2,COLUMN())),OFFSET($AH$2,0,0,ROW()-1,28),ROW()-1,FALSE))</f>
        <v>6033180</v>
      </c>
      <c r="K30">
        <f ca="1">IF(AND($B$74=1,LEN($K$28) * LEN($K$29)&gt;0),$K$28-$K$29,HLOOKUP(INDIRECT(ADDRESS(2,COLUMN())),OFFSET($AH$2,0,0,ROW()-1,28),ROW()-1,FALSE))</f>
        <v>5438010</v>
      </c>
      <c r="L30">
        <f ca="1">IF(AND($B$74=1,LEN($L$28) * LEN($L$29)&gt;0),$L$28-$L$29,HLOOKUP(INDIRECT(ADDRESS(2,COLUMN())),OFFSET($AH$2,0,0,ROW()-1,28),ROW()-1,FALSE))</f>
        <v>4842470</v>
      </c>
      <c r="M30">
        <f ca="1">IF(AND($B$74=1,LEN($M$28) * LEN($M$29)&gt;0),$M$28-$M$29,HLOOKUP(INDIRECT(ADDRESS(2,COLUMN())),OFFSET($AH$2,0,0,ROW()-1,28),ROW()-1,FALSE))</f>
        <v>4645390</v>
      </c>
      <c r="N30">
        <f ca="1">IF(AND($B$74=1,LEN($N$28) * LEN($N$29)&gt;0),$N$28-$N$29,HLOOKUP(INDIRECT(ADDRESS(2,COLUMN())),OFFSET($AH$2,0,0,ROW()-1,28),ROW()-1,FALSE))</f>
        <v>5562200</v>
      </c>
      <c r="O30">
        <f ca="1">IF(AND($B$74=1,LEN($O$28) * LEN($O$29)&gt;0),$O$28-$O$29,HLOOKUP(INDIRECT(ADDRESS(2,COLUMN())),OFFSET($AH$2,0,0,ROW()-1,28),ROW()-1,FALSE))</f>
        <v>5021590</v>
      </c>
      <c r="P30">
        <f ca="1">IF(AND($B$74=1,LEN($P$28) * LEN($P$29)&gt;0),$P$28-$P$29,HLOOKUP(INDIRECT(ADDRESS(2,COLUMN())),OFFSET($AH$2,0,0,ROW()-1,28),ROW()-1,FALSE))</f>
        <v>4165410</v>
      </c>
      <c r="Q30">
        <f ca="1">IF(AND($B$74=1,LEN($Q$28) * LEN($Q$29)&gt;0),$Q$28-$Q$29,HLOOKUP(INDIRECT(ADDRESS(2,COLUMN())),OFFSET($AH$2,0,0,ROW()-1,28),ROW()-1,FALSE))</f>
        <v>3260310</v>
      </c>
      <c r="R30">
        <f ca="1">IF(AND($B$74=1,LEN($R$28) * LEN($R$29)&gt;0),$R$28-$R$29,HLOOKUP(INDIRECT(ADDRESS(2,COLUMN())),OFFSET($AH$2,0,0,ROW()-1,28),ROW()-1,FALSE))</f>
        <v>3445350</v>
      </c>
      <c r="S30">
        <f ca="1">IF(AND($B$74=1,LEN($S$28) * LEN($S$29)&gt;0),$S$28-$S$29,HLOOKUP(INDIRECT(ADDRESS(2,COLUMN())),OFFSET($AH$2,0,0,ROW()-1,28),ROW()-1,FALSE))</f>
        <v>3088940</v>
      </c>
      <c r="T30">
        <f ca="1">IF(AND($B$74=1,LEN($T$28) * LEN($T$29)&gt;0),$T$28-$T$29,HLOOKUP(INDIRECT(ADDRESS(2,COLUMN())),OFFSET($AH$2,0,0,ROW()-1,28),ROW()-1,FALSE))</f>
        <v>2642940</v>
      </c>
      <c r="U30">
        <f ca="1">IF(AND($B$74=1,LEN($U$28) * LEN($U$29)&gt;0),$U$28-$U$29,HLOOKUP(INDIRECT(ADDRESS(2,COLUMN())),OFFSET($AH$2,0,0,ROW()-1,28),ROW()-1,FALSE))</f>
        <v>2824110</v>
      </c>
      <c r="V30">
        <f ca="1">IF(AND($B$74=1,LEN($V$28) * LEN($V$29)&gt;0),$V$28-$V$29,HLOOKUP(INDIRECT(ADDRESS(2,COLUMN())),OFFSET($AH$2,0,0,ROW()-1,28),ROW()-1,FALSE))</f>
        <v>2759310</v>
      </c>
      <c r="W30">
        <f ca="1">IF(AND($B$74=1,LEN($W$28) * LEN($W$29)&gt;0),$W$28-$W$29,HLOOKUP(INDIRECT(ADDRESS(2,COLUMN())),OFFSET($AH$2,0,0,ROW()-1,28),ROW()-1,FALSE))</f>
        <v>2339420</v>
      </c>
      <c r="X30">
        <f ca="1">IF(AND($B$74=1,LEN($X$28) * LEN($X$29)&gt;0),$X$28-$X$29,HLOOKUP(INDIRECT(ADDRESS(2,COLUMN())),OFFSET($AH$2,0,0,ROW()-1,28),ROW()-1,FALSE))</f>
        <v>2008340</v>
      </c>
      <c r="Y30">
        <f ca="1">IF(AND($B$74=1,LEN($Y$28) * LEN($Y$29)&gt;0),$Y$28-$Y$29,HLOOKUP(INDIRECT(ADDRESS(2,COLUMN())),OFFSET($AH$2,0,0,ROW()-1,28),ROW()-1,FALSE))</f>
        <v>1721130</v>
      </c>
      <c r="Z30">
        <f ca="1">IF(AND($B$74=1,LEN($Z$28) * LEN($Z$29)&gt;0),$Z$28-$Z$29,HLOOKUP(INDIRECT(ADDRESS(2,COLUMN())),OFFSET($AH$2,0,0,ROW()-1,28),ROW()-1,FALSE))</f>
        <v>1642090</v>
      </c>
      <c r="AA30">
        <f ca="1">IF(AND($B$74=1,LEN($AA$28) * LEN($AA$29)&gt;0),$AA$28-$AA$29,HLOOKUP(INDIRECT(ADDRESS(2,COLUMN())),OFFSET($AH$2,0,0,ROW()-1,28),ROW()-1,FALSE))</f>
        <v>1698980</v>
      </c>
      <c r="AB30">
        <f ca="1">IF(AND($B$74=1,LEN($AB$28) * LEN($AB$29)&gt;0),$AB$28-$AB$29,HLOOKUP(INDIRECT(ADDRESS(2,COLUMN())),OFFSET($AH$2,0,0,ROW()-1,28),ROW()-1,FALSE))</f>
        <v>1569620</v>
      </c>
      <c r="AC30">
        <f ca="1">IF(AND($B$74=1,LEN($AC$28) * LEN($AC$29)&gt;0),$AC$28-$AC$29,HLOOKUP(INDIRECT(ADDRESS(2,COLUMN())),OFFSET($AH$2,0,0,ROW()-1,28),ROW()-1,FALSE))</f>
        <v>1461890</v>
      </c>
      <c r="AD30">
        <f ca="1">IF(AND($B$74=1,LEN($AD$28) * LEN($AD$29)&gt;0),$AD$28-$AD$29,HLOOKUP(INDIRECT(ADDRESS(2,COLUMN())),OFFSET($AH$2,0,0,ROW()-1,28),ROW()-1,FALSE))</f>
        <v>1327860</v>
      </c>
      <c r="AE30">
        <f ca="1">IF(AND($B$74=1,LEN($AE$28) * LEN($AE$29)&gt;0),$AE$28-$AE$29,HLOOKUP(INDIRECT(ADDRESS(2,COLUMN())),OFFSET($AH$2,0,0,ROW()-1,28),ROW()-1,FALSE))</f>
        <v>1086130</v>
      </c>
      <c r="AF30">
        <f ca="1">IF(AND($B$74=1,LEN($AF$28) * LEN($AF$29)&gt;0),$AF$28-$AF$29,HLOOKUP(INDIRECT(ADDRESS(2,COLUMN())),OFFSET($AH$2,0,0,ROW()-1,28),ROW()-1,FALSE))</f>
        <v>928707</v>
      </c>
      <c r="AG30">
        <f ca="1">IF(AND($B$74=1,LEN($AG$28) * LEN($AG$29)&gt;0),$AG$28-$AG$29,HLOOKUP(INDIRECT(ADDRESS(2,COLUMN())),OFFSET($AH$2,0,0,ROW()-1,28),ROW()-1,FALSE))</f>
        <v>807885</v>
      </c>
      <c r="AH30">
        <f>9406290</f>
        <v>9406290</v>
      </c>
      <c r="AI30">
        <f>8379840</f>
        <v>8379840</v>
      </c>
      <c r="AJ30">
        <f>7695150</f>
        <v>7695150</v>
      </c>
      <c r="AK30">
        <f>6910130</f>
        <v>6910130</v>
      </c>
      <c r="AL30">
        <f>6033180</f>
        <v>6033180</v>
      </c>
      <c r="AM30">
        <f>5438010</f>
        <v>5438010</v>
      </c>
      <c r="AN30">
        <f>4842470</f>
        <v>4842470</v>
      </c>
      <c r="AO30">
        <f>4645390</f>
        <v>4645390</v>
      </c>
      <c r="AP30">
        <f>5562200</f>
        <v>5562200</v>
      </c>
      <c r="AQ30">
        <f>5021590</f>
        <v>5021590</v>
      </c>
      <c r="AR30">
        <f>4165410</f>
        <v>4165410</v>
      </c>
      <c r="AS30">
        <f>3260310</f>
        <v>3260310</v>
      </c>
      <c r="AT30">
        <f>3445350</f>
        <v>3445350</v>
      </c>
      <c r="AU30">
        <f>3088940</f>
        <v>3088940</v>
      </c>
      <c r="AV30">
        <f>2642940</f>
        <v>2642940</v>
      </c>
      <c r="AW30">
        <f>2824110</f>
        <v>2824110</v>
      </c>
      <c r="AX30">
        <f>2759310</f>
        <v>2759310</v>
      </c>
      <c r="AY30">
        <f>2339420</f>
        <v>2339420</v>
      </c>
      <c r="AZ30">
        <f>2008340</f>
        <v>2008340</v>
      </c>
      <c r="BA30">
        <f>1721130</f>
        <v>1721130</v>
      </c>
      <c r="BB30">
        <f>1642090</f>
        <v>1642090</v>
      </c>
      <c r="BC30">
        <f>1698980</f>
        <v>1698980</v>
      </c>
      <c r="BD30">
        <f>1569620</f>
        <v>1569620</v>
      </c>
      <c r="BE30">
        <f>1461890</f>
        <v>1461890</v>
      </c>
      <c r="BF30">
        <f>1327860</f>
        <v>1327860</v>
      </c>
      <c r="BG30">
        <f>1086130</f>
        <v>1086130</v>
      </c>
      <c r="BH30">
        <f>928707</f>
        <v>928707</v>
      </c>
      <c r="BI30">
        <f>807885</f>
        <v>807885</v>
      </c>
    </row>
    <row r="31" spans="1:61" x14ac:dyDescent="0.25">
      <c r="A31" t="str">
        <f>"        Active Equity"</f>
        <v xml:space="preserve">        Active Equity</v>
      </c>
      <c r="B31" t="str">
        <f>".BIATATE G Index"</f>
        <v>.BIATATE G Index</v>
      </c>
      <c r="C31" t="str">
        <f>"PR005"</f>
        <v>PR005</v>
      </c>
      <c r="D31" t="str">
        <f>"PX_LAST"</f>
        <v>PX_LAST</v>
      </c>
      <c r="E31" t="str">
        <f>"Dynamic"</f>
        <v>Dynamic</v>
      </c>
      <c r="F31">
        <f ca="1">IF(AND(ISNUMBER($F$88),$B$74=1),$F$88,HLOOKUP(INDIRECT(ADDRESS(2,COLUMN())),OFFSET($AH$2,0,0,ROW()-1,28),ROW()-1,FALSE))</f>
        <v>9913250</v>
      </c>
      <c r="G31">
        <f ca="1">IF(AND(ISNUMBER($G$88),$B$74=1),$G$88,HLOOKUP(INDIRECT(ADDRESS(2,COLUMN())),OFFSET($AH$2,0,0,ROW()-1,28),ROW()-1,FALSE))</f>
        <v>9349890</v>
      </c>
      <c r="H31">
        <f ca="1">IF(AND(ISNUMBER($H$88),$B$74=1),$H$88,HLOOKUP(INDIRECT(ADDRESS(2,COLUMN())),OFFSET($AH$2,0,0,ROW()-1,28),ROW()-1,FALSE))</f>
        <v>8856760</v>
      </c>
      <c r="I31">
        <f ca="1">IF(AND(ISNUMBER($I$88),$B$74=1),$I$88,HLOOKUP(INDIRECT(ADDRESS(2,COLUMN())),OFFSET($AH$2,0,0,ROW()-1,28),ROW()-1,FALSE))</f>
        <v>8705020</v>
      </c>
      <c r="J31">
        <f ca="1">IF(AND(ISNUMBER($J$88),$B$74=1),$J$88,HLOOKUP(INDIRECT(ADDRESS(2,COLUMN())),OFFSET($AH$2,0,0,ROW()-1,28),ROW()-1,FALSE))</f>
        <v>7914730</v>
      </c>
      <c r="K31">
        <f ca="1">IF(AND(ISNUMBER($K$88),$B$74=1),$K$88,HLOOKUP(INDIRECT(ADDRESS(2,COLUMN())),OFFSET($AH$2,0,0,ROW()-1,28),ROW()-1,FALSE))</f>
        <v>7539810</v>
      </c>
      <c r="L31">
        <f ca="1">IF(AND(ISNUMBER($L$88),$B$74=1),$L$88,HLOOKUP(INDIRECT(ADDRESS(2,COLUMN())),OFFSET($AH$2,0,0,ROW()-1,28),ROW()-1,FALSE))</f>
        <v>6828460</v>
      </c>
      <c r="M31">
        <f ca="1">IF(AND(ISNUMBER($M$88),$B$74=1),$M$88,HLOOKUP(INDIRECT(ADDRESS(2,COLUMN())),OFFSET($AH$2,0,0,ROW()-1,28),ROW()-1,FALSE))</f>
        <v>6906620</v>
      </c>
      <c r="N31">
        <f ca="1">IF(AND(ISNUMBER($N$88),$B$74=1),$N$88,HLOOKUP(INDIRECT(ADDRESS(2,COLUMN())),OFFSET($AH$2,0,0,ROW()-1,28),ROW()-1,FALSE))</f>
        <v>8956440</v>
      </c>
      <c r="O31">
        <f ca="1">IF(AND(ISNUMBER($O$88),$B$74=1),$O$88,HLOOKUP(INDIRECT(ADDRESS(2,COLUMN())),OFFSET($AH$2,0,0,ROW()-1,28),ROW()-1,FALSE))</f>
        <v>8752850</v>
      </c>
      <c r="P31">
        <f ca="1">IF(AND(ISNUMBER($P$88),$B$74=1),$P$88,HLOOKUP(INDIRECT(ADDRESS(2,COLUMN())),OFFSET($AH$2,0,0,ROW()-1,28),ROW()-1,FALSE))</f>
        <v>7839780</v>
      </c>
      <c r="Q31">
        <f ca="1">IF(AND(ISNUMBER($Q$88),$B$74=1),$Q$88,HLOOKUP(INDIRECT(ADDRESS(2,COLUMN())),OFFSET($AH$2,0,0,ROW()-1,28),ROW()-1,FALSE))</f>
        <v>6547420</v>
      </c>
      <c r="R31">
        <f ca="1">IF(AND(ISNUMBER($R$88),$B$74=1),$R$88,HLOOKUP(INDIRECT(ADDRESS(2,COLUMN())),OFFSET($AH$2,0,0,ROW()-1,28),ROW()-1,FALSE))</f>
        <v>6875650</v>
      </c>
      <c r="S31">
        <f ca="1">IF(AND(ISNUMBER($S$88),$B$74=1),$S$88,HLOOKUP(INDIRECT(ADDRESS(2,COLUMN())),OFFSET($AH$2,0,0,ROW()-1,28),ROW()-1,FALSE))</f>
        <v>6310890</v>
      </c>
      <c r="T31">
        <f ca="1">IF(AND(ISNUMBER($T$88),$B$74=1),$T$88,HLOOKUP(INDIRECT(ADDRESS(2,COLUMN())),OFFSET($AH$2,0,0,ROW()-1,28),ROW()-1,FALSE))</f>
        <v>5527920</v>
      </c>
      <c r="U31">
        <f ca="1">IF(AND(ISNUMBER($U$88),$B$74=1),$U$88,HLOOKUP(INDIRECT(ADDRESS(2,COLUMN())),OFFSET($AH$2,0,0,ROW()-1,28),ROW()-1,FALSE))</f>
        <v>6528160</v>
      </c>
      <c r="V31">
        <f ca="1">IF(AND(ISNUMBER($V$88),$B$74=1),$V$88,HLOOKUP(INDIRECT(ADDRESS(2,COLUMN())),OFFSET($AH$2,0,0,ROW()-1,28),ROW()-1,FALSE))</f>
        <v>6419860</v>
      </c>
      <c r="W31">
        <f ca="1">IF(AND(ISNUMBER($W$88),$B$74=1),$W$88,HLOOKUP(INDIRECT(ADDRESS(2,COLUMN())),OFFSET($AH$2,0,0,ROW()-1,28),ROW()-1,FALSE))</f>
        <v>5928720</v>
      </c>
      <c r="X31">
        <f ca="1">IF(AND(ISNUMBER($X$88),$B$74=1),$X$88,HLOOKUP(INDIRECT(ADDRESS(2,COLUMN())),OFFSET($AH$2,0,0,ROW()-1,28),ROW()-1,FALSE))</f>
        <v>5387780</v>
      </c>
      <c r="Y31">
        <f ca="1">IF(AND(ISNUMBER($Y$88),$B$74=1),$Y$88,HLOOKUP(INDIRECT(ADDRESS(2,COLUMN())),OFFSET($AH$2,0,0,ROW()-1,28),ROW()-1,FALSE))</f>
        <v>5220480</v>
      </c>
      <c r="Z31">
        <f ca="1">IF(AND(ISNUMBER($Z$88),$B$74=1),$Z$88,HLOOKUP(INDIRECT(ADDRESS(2,COLUMN())),OFFSET($AH$2,0,0,ROW()-1,28),ROW()-1,FALSE))</f>
        <v>5163310</v>
      </c>
      <c r="AA31">
        <f ca="1">IF(AND(ISNUMBER($AA$88),$B$74=1),$AA$88,HLOOKUP(INDIRECT(ADDRESS(2,COLUMN())),OFFSET($AH$2,0,0,ROW()-1,28),ROW()-1,FALSE))</f>
        <v>5553850</v>
      </c>
      <c r="AB31">
        <f ca="1">IF(AND(ISNUMBER($AB$88),$B$74=1),$AB$88,HLOOKUP(INDIRECT(ADDRESS(2,COLUMN())),OFFSET($AH$2,0,0,ROW()-1,28),ROW()-1,FALSE))</f>
        <v>5364090</v>
      </c>
      <c r="AC31">
        <f ca="1">IF(AND(ISNUMBER($AC$88),$B$74=1),$AC$88,HLOOKUP(INDIRECT(ADDRESS(2,COLUMN())),OFFSET($AH$2,0,0,ROW()-1,28),ROW()-1,FALSE))</f>
        <v>5433580</v>
      </c>
      <c r="AD31">
        <f ca="1">IF(AND(ISNUMBER($AD$88),$B$74=1),$AD$88,HLOOKUP(INDIRECT(ADDRESS(2,COLUMN())),OFFSET($AH$2,0,0,ROW()-1,28),ROW()-1,FALSE))</f>
        <v>5005450</v>
      </c>
      <c r="AE31">
        <f ca="1">IF(AND(ISNUMBER($AE$88),$B$74=1),$AE$88,HLOOKUP(INDIRECT(ADDRESS(2,COLUMN())),OFFSET($AH$2,0,0,ROW()-1,28),ROW()-1,FALSE))</f>
        <v>4257880</v>
      </c>
      <c r="AF31">
        <f ca="1">IF(AND(ISNUMBER($AF$88),$B$74=1),$AF$88,HLOOKUP(INDIRECT(ADDRESS(2,COLUMN())),OFFSET($AH$2,0,0,ROW()-1,28),ROW()-1,FALSE))</f>
        <v>3753280</v>
      </c>
      <c r="AG31">
        <f ca="1">IF(AND(ISNUMBER($AG$88),$B$74=1),$AG$88,HLOOKUP(INDIRECT(ADDRESS(2,COLUMN())),OFFSET($AH$2,0,0,ROW()-1,28),ROW()-1,FALSE))</f>
        <v>3449510</v>
      </c>
      <c r="AH31">
        <f>9913250</f>
        <v>9913250</v>
      </c>
      <c r="AI31">
        <f>9349890</f>
        <v>9349890</v>
      </c>
      <c r="AJ31">
        <f>8856760</f>
        <v>8856760</v>
      </c>
      <c r="AK31">
        <f>8705020</f>
        <v>8705020</v>
      </c>
      <c r="AL31">
        <f>7914730</f>
        <v>7914730</v>
      </c>
      <c r="AM31">
        <f>7539810</f>
        <v>7539810</v>
      </c>
      <c r="AN31">
        <f>6828460</f>
        <v>6828460</v>
      </c>
      <c r="AO31">
        <f>6906620</f>
        <v>6906620</v>
      </c>
      <c r="AP31">
        <f>8956440</f>
        <v>8956440</v>
      </c>
      <c r="AQ31">
        <f>8752850</f>
        <v>8752850</v>
      </c>
      <c r="AR31">
        <f>7839780</f>
        <v>7839780</v>
      </c>
      <c r="AS31">
        <f>6547420</f>
        <v>6547420</v>
      </c>
      <c r="AT31">
        <f>6875650</f>
        <v>6875650</v>
      </c>
      <c r="AU31">
        <f>6310890</f>
        <v>6310890</v>
      </c>
      <c r="AV31">
        <f>5527920</f>
        <v>5527920</v>
      </c>
      <c r="AW31">
        <f>6528160</f>
        <v>6528160</v>
      </c>
      <c r="AX31">
        <f>6419860</f>
        <v>6419860</v>
      </c>
      <c r="AY31">
        <f>5928720</f>
        <v>5928720</v>
      </c>
      <c r="AZ31">
        <f>5387780</f>
        <v>5387780</v>
      </c>
      <c r="BA31">
        <f>5220480</f>
        <v>5220480</v>
      </c>
      <c r="BB31">
        <f>5163310</f>
        <v>5163310</v>
      </c>
      <c r="BC31">
        <f>5553850</f>
        <v>5553850</v>
      </c>
      <c r="BD31">
        <f>5364090</f>
        <v>5364090</v>
      </c>
      <c r="BE31">
        <f>5433580</f>
        <v>5433580</v>
      </c>
      <c r="BF31">
        <f>5005450</f>
        <v>5005450</v>
      </c>
      <c r="BG31">
        <f>4257880</f>
        <v>4257880</v>
      </c>
      <c r="BH31">
        <f>3753280</f>
        <v>3753280</v>
      </c>
      <c r="BI31">
        <f>3449510</f>
        <v>3449510</v>
      </c>
    </row>
    <row r="32" spans="1:61" x14ac:dyDescent="0.25">
      <c r="A32" t="str">
        <f>"            Active Equity Mutual Funds"</f>
        <v xml:space="preserve">            Active Equity Mutual Funds</v>
      </c>
      <c r="B32" t="str">
        <f>".BIAMATE G Index"</f>
        <v>.BIAMATE G Index</v>
      </c>
      <c r="C32" t="str">
        <f>"PR005"</f>
        <v>PR005</v>
      </c>
      <c r="D32" t="str">
        <f>"PX_LAST"</f>
        <v>PX_LAST</v>
      </c>
      <c r="E32" t="str">
        <f>"Dynamic"</f>
        <v>Dynamic</v>
      </c>
      <c r="F32">
        <f ca="1">IF(AND(ISNUMBER($F$89),$B$74=1),$F$89,HLOOKUP(INDIRECT(ADDRESS(2,COLUMN())),OFFSET($AH$2,0,0,ROW()-1,28),ROW()-1,FALSE))</f>
        <v>9003600</v>
      </c>
      <c r="G32">
        <f ca="1">IF(AND(ISNUMBER($G$89),$B$74=1),$G$89,HLOOKUP(INDIRECT(ADDRESS(2,COLUMN())),OFFSET($AH$2,0,0,ROW()-1,28),ROW()-1,FALSE))</f>
        <v>8593660</v>
      </c>
      <c r="H32">
        <f ca="1">IF(AND(ISNUMBER($H$89),$B$74=1),$H$89,HLOOKUP(INDIRECT(ADDRESS(2,COLUMN())),OFFSET($AH$2,0,0,ROW()-1,28),ROW()-1,FALSE))</f>
        <v>8241660</v>
      </c>
      <c r="I32">
        <f ca="1">IF(AND(ISNUMBER($I$89),$B$74=1),$I$89,HLOOKUP(INDIRECT(ADDRESS(2,COLUMN())),OFFSET($AH$2,0,0,ROW()-1,28),ROW()-1,FALSE))</f>
        <v>8204750</v>
      </c>
      <c r="J32">
        <f ca="1">IF(AND(ISNUMBER($J$89),$B$74=1),$J$89,HLOOKUP(INDIRECT(ADDRESS(2,COLUMN())),OFFSET($AH$2,0,0,ROW()-1,28),ROW()-1,FALSE))</f>
        <v>7526760</v>
      </c>
      <c r="K32">
        <f ca="1">IF(AND(ISNUMBER($K$89),$B$74=1),$K$89,HLOOKUP(INDIRECT(ADDRESS(2,COLUMN())),OFFSET($AH$2,0,0,ROW()-1,28),ROW()-1,FALSE))</f>
        <v>7218560</v>
      </c>
      <c r="L32">
        <f ca="1">IF(AND(ISNUMBER($L$89),$B$74=1),$L$89,HLOOKUP(INDIRECT(ADDRESS(2,COLUMN())),OFFSET($AH$2,0,0,ROW()-1,28),ROW()-1,FALSE))</f>
        <v>6578750</v>
      </c>
      <c r="M32">
        <f ca="1">IF(AND(ISNUMBER($M$89),$B$74=1),$M$89,HLOOKUP(INDIRECT(ADDRESS(2,COLUMN())),OFFSET($AH$2,0,0,ROW()-1,28),ROW()-1,FALSE))</f>
        <v>6701310</v>
      </c>
      <c r="N32">
        <f ca="1">IF(AND(ISNUMBER($N$89),$B$74=1),$N$89,HLOOKUP(INDIRECT(ADDRESS(2,COLUMN())),OFFSET($AH$2,0,0,ROW()-1,28),ROW()-1,FALSE))</f>
        <v>8755200</v>
      </c>
      <c r="O32">
        <f ca="1">IF(AND(ISNUMBER($O$89),$B$74=1),$O$89,HLOOKUP(INDIRECT(ADDRESS(2,COLUMN())),OFFSET($AH$2,0,0,ROW()-1,28),ROW()-1,FALSE))</f>
        <v>8564790</v>
      </c>
      <c r="P32">
        <f ca="1">IF(AND(ISNUMBER($P$89),$B$74=1),$P$89,HLOOKUP(INDIRECT(ADDRESS(2,COLUMN())),OFFSET($AH$2,0,0,ROW()-1,28),ROW()-1,FALSE))</f>
        <v>7701210</v>
      </c>
      <c r="Q32">
        <f ca="1">IF(AND(ISNUMBER($Q$89),$B$74=1),$Q$89,HLOOKUP(INDIRECT(ADDRESS(2,COLUMN())),OFFSET($AH$2,0,0,ROW()-1,28),ROW()-1,FALSE))</f>
        <v>6460670</v>
      </c>
      <c r="R32">
        <f ca="1">IF(AND(ISNUMBER($R$89),$B$74=1),$R$89,HLOOKUP(INDIRECT(ADDRESS(2,COLUMN())),OFFSET($AH$2,0,0,ROW()-1,28),ROW()-1,FALSE))</f>
        <v>6783820</v>
      </c>
      <c r="S32">
        <f ca="1">IF(AND(ISNUMBER($S$89),$B$74=1),$S$89,HLOOKUP(INDIRECT(ADDRESS(2,COLUMN())),OFFSET($AH$2,0,0,ROW()-1,28),ROW()-1,FALSE))</f>
        <v>6227260</v>
      </c>
      <c r="T32">
        <f ca="1">IF(AND(ISNUMBER($T$89),$B$74=1),$T$89,HLOOKUP(INDIRECT(ADDRESS(2,COLUMN())),OFFSET($AH$2,0,0,ROW()-1,28),ROW()-1,FALSE))</f>
        <v>5457240</v>
      </c>
      <c r="U32">
        <f ca="1">IF(AND(ISNUMBER($U$89),$B$74=1),$U$89,HLOOKUP(INDIRECT(ADDRESS(2,COLUMN())),OFFSET($AH$2,0,0,ROW()-1,28),ROW()-1,FALSE))</f>
        <v>6446000</v>
      </c>
      <c r="V32">
        <f ca="1">IF(AND(ISNUMBER($V$89),$B$74=1),$V$89,HLOOKUP(INDIRECT(ADDRESS(2,COLUMN())),OFFSET($AH$2,0,0,ROW()-1,28),ROW()-1,FALSE))</f>
        <v>6345860</v>
      </c>
      <c r="W32">
        <f ca="1">IF(AND(ISNUMBER($W$89),$B$74=1),$W$89,HLOOKUP(INDIRECT(ADDRESS(2,COLUMN())),OFFSET($AH$2,0,0,ROW()-1,28),ROW()-1,FALSE))</f>
        <v>5867980</v>
      </c>
      <c r="X32">
        <f ca="1">IF(AND(ISNUMBER($X$89),$B$74=1),$X$89,HLOOKUP(INDIRECT(ADDRESS(2,COLUMN())),OFFSET($AH$2,0,0,ROW()-1,28),ROW()-1,FALSE))</f>
        <v>5333280</v>
      </c>
      <c r="Y32">
        <f ca="1">IF(AND(ISNUMBER($Y$89),$B$74=1),$Y$89,HLOOKUP(INDIRECT(ADDRESS(2,COLUMN())),OFFSET($AH$2,0,0,ROW()-1,28),ROW()-1,FALSE))</f>
        <v>5174440</v>
      </c>
      <c r="Z32">
        <f ca="1">IF(AND(ISNUMBER($Z$89),$B$74=1),$Z$89,HLOOKUP(INDIRECT(ADDRESS(2,COLUMN())),OFFSET($AH$2,0,0,ROW()-1,28),ROW()-1,FALSE))</f>
        <v>5121620</v>
      </c>
      <c r="AA32">
        <f ca="1">IF(AND(ISNUMBER($AA$89),$B$74=1),$AA$89,HLOOKUP(INDIRECT(ADDRESS(2,COLUMN())),OFFSET($AH$2,0,0,ROW()-1,28),ROW()-1,FALSE))</f>
        <v>5509060</v>
      </c>
      <c r="AB32">
        <f ca="1">IF(AND(ISNUMBER($AB$89),$B$74=1),$AB$89,HLOOKUP(INDIRECT(ADDRESS(2,COLUMN())),OFFSET($AH$2,0,0,ROW()-1,28),ROW()-1,FALSE))</f>
        <v>5324460</v>
      </c>
      <c r="AC32">
        <f ca="1">IF(AND(ISNUMBER($AC$89),$B$74=1),$AC$89,HLOOKUP(INDIRECT(ADDRESS(2,COLUMN())),OFFSET($AH$2,0,0,ROW()-1,28),ROW()-1,FALSE))</f>
        <v>5395910</v>
      </c>
      <c r="AD32">
        <f ca="1">IF(AND(ISNUMBER($AD$89),$B$74=1),$AD$89,HLOOKUP(INDIRECT(ADDRESS(2,COLUMN())),OFFSET($AH$2,0,0,ROW()-1,28),ROW()-1,FALSE))</f>
        <v>4972970</v>
      </c>
      <c r="AE32">
        <f ca="1">IF(AND(ISNUMBER($AE$89),$B$74=1),$AE$89,HLOOKUP(INDIRECT(ADDRESS(2,COLUMN())),OFFSET($AH$2,0,0,ROW()-1,28),ROW()-1,FALSE))</f>
        <v>4230840</v>
      </c>
      <c r="AF32">
        <f ca="1">IF(AND(ISNUMBER($AF$89),$B$74=1),$AF$89,HLOOKUP(INDIRECT(ADDRESS(2,COLUMN())),OFFSET($AH$2,0,0,ROW()-1,28),ROW()-1,FALSE))</f>
        <v>3730730</v>
      </c>
      <c r="AG32">
        <f ca="1">IF(AND(ISNUMBER($AG$89),$B$74=1),$AG$89,HLOOKUP(INDIRECT(ADDRESS(2,COLUMN())),OFFSET($AH$2,0,0,ROW()-1,28),ROW()-1,FALSE))</f>
        <v>3429440</v>
      </c>
      <c r="AH32">
        <f>9003600</f>
        <v>9003600</v>
      </c>
      <c r="AI32">
        <f>8593660</f>
        <v>8593660</v>
      </c>
      <c r="AJ32">
        <f>8241660</f>
        <v>8241660</v>
      </c>
      <c r="AK32">
        <f>8204750</f>
        <v>8204750</v>
      </c>
      <c r="AL32">
        <f>7526760</f>
        <v>7526760</v>
      </c>
      <c r="AM32">
        <f>7218560</f>
        <v>7218560</v>
      </c>
      <c r="AN32">
        <f>6578750</f>
        <v>6578750</v>
      </c>
      <c r="AO32">
        <f>6701310</f>
        <v>6701310</v>
      </c>
      <c r="AP32">
        <f>8755200</f>
        <v>8755200</v>
      </c>
      <c r="AQ32">
        <f>8564790</f>
        <v>8564790</v>
      </c>
      <c r="AR32">
        <f>7701210</f>
        <v>7701210</v>
      </c>
      <c r="AS32">
        <f>6460670</f>
        <v>6460670</v>
      </c>
      <c r="AT32">
        <f>6783820</f>
        <v>6783820</v>
      </c>
      <c r="AU32">
        <f>6227260</f>
        <v>6227260</v>
      </c>
      <c r="AV32">
        <f>5457240</f>
        <v>5457240</v>
      </c>
      <c r="AW32">
        <f>6446000</f>
        <v>6446000</v>
      </c>
      <c r="AX32">
        <f>6345860</f>
        <v>6345860</v>
      </c>
      <c r="AY32">
        <f>5867980</f>
        <v>5867980</v>
      </c>
      <c r="AZ32">
        <f>5333280</f>
        <v>5333280</v>
      </c>
      <c r="BA32">
        <f>5174440</f>
        <v>5174440</v>
      </c>
      <c r="BB32">
        <f>5121620</f>
        <v>5121620</v>
      </c>
      <c r="BC32">
        <f>5509060</f>
        <v>5509060</v>
      </c>
      <c r="BD32">
        <f>5324460</f>
        <v>5324460</v>
      </c>
      <c r="BE32">
        <f>5395910</f>
        <v>5395910</v>
      </c>
      <c r="BF32">
        <f>4972970</f>
        <v>4972970</v>
      </c>
      <c r="BG32">
        <f>4230840</f>
        <v>4230840</v>
      </c>
      <c r="BH32">
        <f>3730730</f>
        <v>3730730</v>
      </c>
      <c r="BI32">
        <f>3429440</f>
        <v>3429440</v>
      </c>
    </row>
    <row r="33" spans="1:61" x14ac:dyDescent="0.25">
      <c r="A33" t="str">
        <f>"            Active Equity ETFs"</f>
        <v xml:space="preserve">            Active Equity ETFs</v>
      </c>
      <c r="B33" t="str">
        <f>""</f>
        <v/>
      </c>
      <c r="E33" t="str">
        <f>"Expression"</f>
        <v>Expression</v>
      </c>
      <c r="F33">
        <f ca="1">IF(AND($B$74=1,LEN($F$31) * LEN($F$32)&gt;0),$F$31-$F$32,HLOOKUP(INDIRECT(ADDRESS(2,COLUMN())),OFFSET($AH$2,0,0,ROW()-1,28),ROW()-1,FALSE))</f>
        <v>909650</v>
      </c>
      <c r="G33">
        <f ca="1">IF(AND($B$74=1,LEN($G$31) * LEN($G$32)&gt;0),$G$31-$G$32,HLOOKUP(INDIRECT(ADDRESS(2,COLUMN())),OFFSET($AH$2,0,0,ROW()-1,28),ROW()-1,FALSE))</f>
        <v>756230</v>
      </c>
      <c r="H33">
        <f ca="1">IF(AND($B$74=1,LEN($H$31) * LEN($H$32)&gt;0),$H$31-$H$32,HLOOKUP(INDIRECT(ADDRESS(2,COLUMN())),OFFSET($AH$2,0,0,ROW()-1,28),ROW()-1,FALSE))</f>
        <v>615100</v>
      </c>
      <c r="I33">
        <f ca="1">IF(AND($B$74=1,LEN($I$31) * LEN($I$32)&gt;0),$I$31-$I$32,HLOOKUP(INDIRECT(ADDRESS(2,COLUMN())),OFFSET($AH$2,0,0,ROW()-1,28),ROW()-1,FALSE))</f>
        <v>500270</v>
      </c>
      <c r="J33">
        <f ca="1">IF(AND($B$74=1,LEN($J$31) * LEN($J$32)&gt;0),$J$31-$J$32,HLOOKUP(INDIRECT(ADDRESS(2,COLUMN())),OFFSET($AH$2,0,0,ROW()-1,28),ROW()-1,FALSE))</f>
        <v>387970</v>
      </c>
      <c r="K33">
        <f ca="1">IF(AND($B$74=1,LEN($K$31) * LEN($K$32)&gt;0),$K$31-$K$32,HLOOKUP(INDIRECT(ADDRESS(2,COLUMN())),OFFSET($AH$2,0,0,ROW()-1,28),ROW()-1,FALSE))</f>
        <v>321250</v>
      </c>
      <c r="L33">
        <f ca="1">IF(AND($B$74=1,LEN($L$31) * LEN($L$32)&gt;0),$L$31-$L$32,HLOOKUP(INDIRECT(ADDRESS(2,COLUMN())),OFFSET($AH$2,0,0,ROW()-1,28),ROW()-1,FALSE))</f>
        <v>249710</v>
      </c>
      <c r="M33">
        <f ca="1">IF(AND($B$74=1,LEN($M$31) * LEN($M$32)&gt;0),$M$31-$M$32,HLOOKUP(INDIRECT(ADDRESS(2,COLUMN())),OFFSET($AH$2,0,0,ROW()-1,28),ROW()-1,FALSE))</f>
        <v>205310</v>
      </c>
      <c r="N33">
        <f ca="1">IF(AND($B$74=1,LEN($N$31) * LEN($N$32)&gt;0),$N$31-$N$32,HLOOKUP(INDIRECT(ADDRESS(2,COLUMN())),OFFSET($AH$2,0,0,ROW()-1,28),ROW()-1,FALSE))</f>
        <v>201240</v>
      </c>
      <c r="O33">
        <f ca="1">IF(AND($B$74=1,LEN($O$31) * LEN($O$32)&gt;0),$O$31-$O$32,HLOOKUP(INDIRECT(ADDRESS(2,COLUMN())),OFFSET($AH$2,0,0,ROW()-1,28),ROW()-1,FALSE))</f>
        <v>188060</v>
      </c>
      <c r="P33">
        <f ca="1">IF(AND($B$74=1,LEN($P$31) * LEN($P$32)&gt;0),$P$31-$P$32,HLOOKUP(INDIRECT(ADDRESS(2,COLUMN())),OFFSET($AH$2,0,0,ROW()-1,28),ROW()-1,FALSE))</f>
        <v>138570</v>
      </c>
      <c r="Q33">
        <f ca="1">IF(AND($B$74=1,LEN($Q$31) * LEN($Q$32)&gt;0),$Q$31-$Q$32,HLOOKUP(INDIRECT(ADDRESS(2,COLUMN())),OFFSET($AH$2,0,0,ROW()-1,28),ROW()-1,FALSE))</f>
        <v>86750</v>
      </c>
      <c r="R33">
        <f ca="1">IF(AND($B$74=1,LEN($R$31) * LEN($R$32)&gt;0),$R$31-$R$32,HLOOKUP(INDIRECT(ADDRESS(2,COLUMN())),OFFSET($AH$2,0,0,ROW()-1,28),ROW()-1,FALSE))</f>
        <v>91830</v>
      </c>
      <c r="S33">
        <f ca="1">IF(AND($B$74=1,LEN($S$31) * LEN($S$32)&gt;0),$S$31-$S$32,HLOOKUP(INDIRECT(ADDRESS(2,COLUMN())),OFFSET($AH$2,0,0,ROW()-1,28),ROW()-1,FALSE))</f>
        <v>83630</v>
      </c>
      <c r="T33">
        <f ca="1">IF(AND($B$74=1,LEN($T$31) * LEN($T$32)&gt;0),$T$31-$T$32,HLOOKUP(INDIRECT(ADDRESS(2,COLUMN())),OFFSET($AH$2,0,0,ROW()-1,28),ROW()-1,FALSE))</f>
        <v>70680</v>
      </c>
      <c r="U33">
        <f ca="1">IF(AND($B$74=1,LEN($U$31) * LEN($U$32)&gt;0),$U$31-$U$32,HLOOKUP(INDIRECT(ADDRESS(2,COLUMN())),OFFSET($AH$2,0,0,ROW()-1,28),ROW()-1,FALSE))</f>
        <v>82160</v>
      </c>
      <c r="V33">
        <f ca="1">IF(AND($B$74=1,LEN($V$31) * LEN($V$32)&gt;0),$V$31-$V$32,HLOOKUP(INDIRECT(ADDRESS(2,COLUMN())),OFFSET($AH$2,0,0,ROW()-1,28),ROW()-1,FALSE))</f>
        <v>74000</v>
      </c>
      <c r="W33">
        <f ca="1">IF(AND($B$74=1,LEN($W$31) * LEN($W$32)&gt;0),$W$31-$W$32,HLOOKUP(INDIRECT(ADDRESS(2,COLUMN())),OFFSET($AH$2,0,0,ROW()-1,28),ROW()-1,FALSE))</f>
        <v>60740</v>
      </c>
      <c r="X33">
        <f ca="1">IF(AND($B$74=1,LEN($X$31) * LEN($X$32)&gt;0),$X$31-$X$32,HLOOKUP(INDIRECT(ADDRESS(2,COLUMN())),OFFSET($AH$2,0,0,ROW()-1,28),ROW()-1,FALSE))</f>
        <v>54500</v>
      </c>
      <c r="Y33">
        <f ca="1">IF(AND($B$74=1,LEN($Y$31) * LEN($Y$32)&gt;0),$Y$31-$Y$32,HLOOKUP(INDIRECT(ADDRESS(2,COLUMN())),OFFSET($AH$2,0,0,ROW()-1,28),ROW()-1,FALSE))</f>
        <v>46040</v>
      </c>
      <c r="Z33">
        <f ca="1">IF(AND($B$74=1,LEN($Z$31) * LEN($Z$32)&gt;0),$Z$31-$Z$32,HLOOKUP(INDIRECT(ADDRESS(2,COLUMN())),OFFSET($AH$2,0,0,ROW()-1,28),ROW()-1,FALSE))</f>
        <v>41690</v>
      </c>
      <c r="AA33">
        <f ca="1">IF(AND($B$74=1,LEN($AA$31) * LEN($AA$32)&gt;0),$AA$31-$AA$32,HLOOKUP(INDIRECT(ADDRESS(2,COLUMN())),OFFSET($AH$2,0,0,ROW()-1,28),ROW()-1,FALSE))</f>
        <v>44790</v>
      </c>
      <c r="AB33">
        <f ca="1">IF(AND($B$74=1,LEN($AB$31) * LEN($AB$32)&gt;0),$AB$31-$AB$32,HLOOKUP(INDIRECT(ADDRESS(2,COLUMN())),OFFSET($AH$2,0,0,ROW()-1,28),ROW()-1,FALSE))</f>
        <v>39630</v>
      </c>
      <c r="AC33">
        <f ca="1">IF(AND($B$74=1,LEN($AC$31) * LEN($AC$32)&gt;0),$AC$31-$AC$32,HLOOKUP(INDIRECT(ADDRESS(2,COLUMN())),OFFSET($AH$2,0,0,ROW()-1,28),ROW()-1,FALSE))</f>
        <v>37670</v>
      </c>
      <c r="AD33">
        <f ca="1">IF(AND($B$74=1,LEN($AD$31) * LEN($AD$32)&gt;0),$AD$31-$AD$32,HLOOKUP(INDIRECT(ADDRESS(2,COLUMN())),OFFSET($AH$2,0,0,ROW()-1,28),ROW()-1,FALSE))</f>
        <v>32480</v>
      </c>
      <c r="AE33">
        <f ca="1">IF(AND($B$74=1,LEN($AE$31) * LEN($AE$32)&gt;0),$AE$31-$AE$32,HLOOKUP(INDIRECT(ADDRESS(2,COLUMN())),OFFSET($AH$2,0,0,ROW()-1,28),ROW()-1,FALSE))</f>
        <v>27040</v>
      </c>
      <c r="AF33">
        <f ca="1">IF(AND($B$74=1,LEN($AF$31) * LEN($AF$32)&gt;0),$AF$31-$AF$32,HLOOKUP(INDIRECT(ADDRESS(2,COLUMN())),OFFSET($AH$2,0,0,ROW()-1,28),ROW()-1,FALSE))</f>
        <v>22550</v>
      </c>
      <c r="AG33">
        <f ca="1">IF(AND($B$74=1,LEN($AG$31) * LEN($AG$32)&gt;0),$AG$31-$AG$32,HLOOKUP(INDIRECT(ADDRESS(2,COLUMN())),OFFSET($AH$2,0,0,ROW()-1,28),ROW()-1,FALSE))</f>
        <v>20070</v>
      </c>
      <c r="AH33">
        <f>909650</f>
        <v>909650</v>
      </c>
      <c r="AI33">
        <f>756230</f>
        <v>756230</v>
      </c>
      <c r="AJ33">
        <f>615100</f>
        <v>615100</v>
      </c>
      <c r="AK33">
        <f>500270</f>
        <v>500270</v>
      </c>
      <c r="AL33">
        <f>387970</f>
        <v>387970</v>
      </c>
      <c r="AM33">
        <f>321250</f>
        <v>321250</v>
      </c>
      <c r="AN33">
        <f>249710</f>
        <v>249710</v>
      </c>
      <c r="AO33">
        <f>205310</f>
        <v>205310</v>
      </c>
      <c r="AP33">
        <f>201240</f>
        <v>201240</v>
      </c>
      <c r="AQ33">
        <f>188060</f>
        <v>188060</v>
      </c>
      <c r="AR33">
        <f>138570</f>
        <v>138570</v>
      </c>
      <c r="AS33">
        <f>86750</f>
        <v>86750</v>
      </c>
      <c r="AT33">
        <f>91830</f>
        <v>91830</v>
      </c>
      <c r="AU33">
        <f>83630</f>
        <v>83630</v>
      </c>
      <c r="AV33">
        <f>70680</f>
        <v>70680</v>
      </c>
      <c r="AW33">
        <f>82160</f>
        <v>82160</v>
      </c>
      <c r="AX33">
        <f>74000</f>
        <v>74000</v>
      </c>
      <c r="AY33">
        <f>60740</f>
        <v>60740</v>
      </c>
      <c r="AZ33">
        <f>54500</f>
        <v>54500</v>
      </c>
      <c r="BA33">
        <f>46040</f>
        <v>46040</v>
      </c>
      <c r="BB33">
        <f>41690</f>
        <v>41690</v>
      </c>
      <c r="BC33">
        <f>44790</f>
        <v>44790</v>
      </c>
      <c r="BD33">
        <f>39630</f>
        <v>39630</v>
      </c>
      <c r="BE33">
        <f>37670</f>
        <v>37670</v>
      </c>
      <c r="BF33">
        <f>32480</f>
        <v>32480</v>
      </c>
      <c r="BG33">
        <f>27040</f>
        <v>27040</v>
      </c>
      <c r="BH33">
        <f>22550</f>
        <v>22550</v>
      </c>
      <c r="BI33">
        <f>20070</f>
        <v>20070</v>
      </c>
    </row>
    <row r="34" spans="1:61" x14ac:dyDescent="0.25">
      <c r="A34" t="str">
        <f>"    Domestic Equity Funds"</f>
        <v xml:space="preserve">    Domestic Equity Funds</v>
      </c>
      <c r="B34" t="str">
        <f>""</f>
        <v/>
      </c>
      <c r="E34" t="str">
        <f>"Sum"</f>
        <v>Sum</v>
      </c>
      <c r="F34">
        <f ca="1">IF(ISERROR(IF(SUM($F$35,$F$38) = 0, "", SUM($F$35,$F$38))), "", (IF(SUM($F$35,$F$38) = 0, "", SUM($F$35,$F$38))))</f>
        <v>19979730</v>
      </c>
      <c r="G34">
        <f ca="1">IF(ISERROR(IF(SUM($G$35,$G$38) = 0, "", SUM($G$35,$G$38))), "", (IF(SUM($G$35,$G$38) = 0, "", SUM($G$35,$G$38))))</f>
        <v>18668120</v>
      </c>
      <c r="H34">
        <f ca="1">IF(ISERROR(IF(SUM($H$35,$H$38) = 0, "", SUM($H$35,$H$38))), "", (IF(SUM($H$35,$H$38) = 0, "", SUM($H$35,$H$38))))</f>
        <v>17774630</v>
      </c>
      <c r="I34">
        <f ca="1">IF(ISERROR(IF(SUM($I$35,$I$38) = 0, "", SUM($I$35,$I$38))), "", (IF(SUM($I$35,$I$38) = 0, "", SUM($I$35,$I$38))))</f>
        <v>16427360</v>
      </c>
      <c r="J34">
        <f ca="1">IF(ISERROR(IF(SUM($J$35,$J$38) = 0, "", SUM($J$35,$J$38))), "", (IF(SUM($J$35,$J$38) = 0, "", SUM($J$35,$J$38))))</f>
        <v>14505300</v>
      </c>
      <c r="K34">
        <f ca="1">IF(ISERROR(IF(SUM($K$35,$K$38) = 0, "", SUM($K$35,$K$38))), "", (IF(SUM($K$35,$K$38) = 0, "", SUM($K$35,$K$38))))</f>
        <v>13349890</v>
      </c>
      <c r="L34">
        <f ca="1">IF(ISERROR(IF(SUM($L$35,$L$38) = 0, "", SUM($L$35,$L$38))), "", (IF(SUM($L$35,$L$38) = 0, "", SUM($L$35,$L$38))))</f>
        <v>11829260</v>
      </c>
      <c r="M34">
        <f ca="1">IF(ISERROR(IF(SUM($M$35,$M$38) = 0, "", SUM($M$35,$M$38))), "", (IF(SUM($M$35,$M$38) = 0, "", SUM($M$35,$M$38))))</f>
        <v>11648480</v>
      </c>
      <c r="N34">
        <f ca="1">IF(ISERROR(IF(SUM($N$35,$N$38) = 0, "", SUM($N$35,$N$38))), "", (IF(SUM($N$35,$N$38) = 0, "", SUM($N$35,$N$38))))</f>
        <v>14593150</v>
      </c>
      <c r="O34">
        <f ca="1">IF(ISERROR(IF(SUM($O$35,$O$38) = 0, "", SUM($O$35,$O$38))), "", (IF(SUM($O$35,$O$38) = 0, "", SUM($O$35,$O$38))))</f>
        <v>13547000</v>
      </c>
      <c r="P34">
        <f ca="1">IF(ISERROR(IF(SUM($P$35,$P$38) = 0, "", SUM($P$35,$P$38))), "", (IF(SUM($P$35,$P$38) = 0, "", SUM($P$35,$P$38))))</f>
        <v>11698190</v>
      </c>
      <c r="Q34">
        <f ca="1">IF(ISERROR(IF(SUM($Q$35,$Q$38) = 0, "", SUM($Q$35,$Q$38))), "", (IF(SUM($Q$35,$Q$38) = 0, "", SUM($Q$35,$Q$38))))</f>
        <v>9628890</v>
      </c>
      <c r="R34">
        <f ca="1">IF(ISERROR(IF(SUM($R$35,$R$38) = 0, "", SUM($R$35,$R$38))), "", (IF(SUM($R$35,$R$38) = 0, "", SUM($R$35,$R$38))))</f>
        <v>10013050</v>
      </c>
      <c r="S34">
        <f ca="1">IF(ISERROR(IF(SUM($S$35,$S$38) = 0, "", SUM($S$35,$S$38))), "", (IF(SUM($S$35,$S$38) = 0, "", SUM($S$35,$S$38))))</f>
        <v>9133080</v>
      </c>
      <c r="T34">
        <f ca="1">IF(ISERROR(IF(SUM($T$35,$T$38) = 0, "", SUM($T$35,$T$38))), "", (IF(SUM($T$35,$T$38) = 0, "", SUM($T$35,$T$38))))</f>
        <v>7751880</v>
      </c>
      <c r="U34">
        <f ca="1">IF(ISERROR(IF(SUM($U$35,$U$38) = 0, "", SUM($U$35,$U$38))), "", (IF(SUM($U$35,$U$38) = 0, "", SUM($U$35,$U$38))))</f>
        <v>8680600</v>
      </c>
      <c r="V34">
        <f ca="1">IF(ISERROR(IF(SUM($V$35,$V$38) = 0, "", SUM($V$35,$V$38))), "", (IF(SUM($V$35,$V$38) = 0, "", SUM($V$35,$V$38))))</f>
        <v>8345110</v>
      </c>
      <c r="W34">
        <f ca="1">IF(ISERROR(IF(SUM($W$35,$W$38) = 0, "", SUM($W$35,$W$38))), "", (IF(SUM($W$35,$W$38) = 0, "", SUM($W$35,$W$38))))</f>
        <v>7581040</v>
      </c>
      <c r="X34">
        <f ca="1">IF(ISERROR(IF(SUM($X$35,$X$38) = 0, "", SUM($X$35,$X$38))), "", (IF(SUM($X$35,$X$38) = 0, "", SUM($X$35,$X$38))))</f>
        <v>6851380</v>
      </c>
      <c r="Y34">
        <f ca="1">IF(ISERROR(IF(SUM($Y$35,$Y$38) = 0, "", SUM($Y$35,$Y$38))), "", (IF(SUM($Y$35,$Y$38) = 0, "", SUM($Y$35,$Y$38))))</f>
        <v>6317140</v>
      </c>
      <c r="Z34">
        <f ca="1">IF(ISERROR(IF(SUM($Z$35,$Z$38) = 0, "", SUM($Z$35,$Z$38))), "", (IF(SUM($Z$35,$Z$38) = 0, "", SUM($Z$35,$Z$38))))</f>
        <v>6100060</v>
      </c>
      <c r="AA34">
        <f ca="1">IF(ISERROR(IF(SUM($AA$35,$AA$38) = 0, "", SUM($AA$35,$AA$38))), "", (IF(SUM($AA$35,$AA$38) = 0, "", SUM($AA$35,$AA$38))))</f>
        <v>6348120</v>
      </c>
      <c r="AB34">
        <f ca="1">IF(ISERROR(IF(SUM($AB$35,$AB$38) = 0, "", SUM($AB$35,$AB$38))), "", (IF(SUM($AB$35,$AB$38) = 0, "", SUM($AB$35,$AB$38))))</f>
        <v>6186470</v>
      </c>
      <c r="AC34">
        <f ca="1">IF(ISERROR(IF(SUM($AC$35,$AC$38) = 0, "", SUM($AC$35,$AC$38))), "", (IF(SUM($AC$35,$AC$38) = 0, "", SUM($AC$35,$AC$38))))</f>
        <v>5918210</v>
      </c>
      <c r="AD34">
        <f ca="1">IF(ISERROR(IF(SUM($AD$35,$AD$38) = 0, "", SUM($AD$35,$AD$38))), "", (IF(SUM($AD$35,$AD$38) = 0, "", SUM($AD$35,$AD$38))))</f>
        <v>5469030</v>
      </c>
      <c r="AE34">
        <f ca="1">IF(ISERROR(IF(SUM($AE$35,$AE$38) = 0, "", SUM($AE$35,$AE$38))), "", (IF(SUM($AE$35,$AE$38) = 0, "", SUM($AE$35,$AE$38))))</f>
        <v>4617360</v>
      </c>
      <c r="AF34">
        <f ca="1">IF(ISERROR(IF(SUM($AF$35,$AF$38) = 0, "", SUM($AF$35,$AF$38))), "", (IF(SUM($AF$35,$AF$38) = 0, "", SUM($AF$35,$AF$38))))</f>
        <v>3924580</v>
      </c>
      <c r="AG34">
        <f ca="1">IF(ISERROR(IF(SUM($AG$35,$AG$38) = 0, "", SUM($AG$35,$AG$38))), "", (IF(SUM($AG$35,$AG$38) = 0, "", SUM($AG$35,$AG$38))))</f>
        <v>3667440</v>
      </c>
      <c r="AH34">
        <f>19979730</f>
        <v>19979730</v>
      </c>
      <c r="AI34">
        <f>18668120</f>
        <v>18668120</v>
      </c>
      <c r="AJ34">
        <f>17774630</f>
        <v>17774630</v>
      </c>
      <c r="AK34">
        <f>16427360</f>
        <v>16427360</v>
      </c>
      <c r="AL34">
        <f>14505300</f>
        <v>14505300</v>
      </c>
      <c r="AM34">
        <f>13349890</f>
        <v>13349890</v>
      </c>
      <c r="AN34">
        <f>11829260</f>
        <v>11829260</v>
      </c>
      <c r="AO34">
        <f>11648480</f>
        <v>11648480</v>
      </c>
      <c r="AP34">
        <f>14593150</f>
        <v>14593150</v>
      </c>
      <c r="AQ34">
        <f>13547000</f>
        <v>13547000</v>
      </c>
      <c r="AR34">
        <f>11698190</f>
        <v>11698190</v>
      </c>
      <c r="AS34">
        <f>9628890</f>
        <v>9628890</v>
      </c>
      <c r="AT34">
        <f>10013050</f>
        <v>10013050</v>
      </c>
      <c r="AU34">
        <f>9133080</f>
        <v>9133080</v>
      </c>
      <c r="AV34">
        <f>7751880</f>
        <v>7751880</v>
      </c>
      <c r="AW34">
        <f>8680600</f>
        <v>8680600</v>
      </c>
      <c r="AX34">
        <f>8345110</f>
        <v>8345110</v>
      </c>
      <c r="AY34">
        <f>7581040</f>
        <v>7581040</v>
      </c>
      <c r="AZ34">
        <f>6851380</f>
        <v>6851380</v>
      </c>
      <c r="BA34">
        <f>6317140</f>
        <v>6317140</v>
      </c>
      <c r="BB34">
        <f>6100060</f>
        <v>6100060</v>
      </c>
      <c r="BC34">
        <f>6348120</f>
        <v>6348120</v>
      </c>
      <c r="BD34">
        <f>6186470</f>
        <v>6186470</v>
      </c>
      <c r="BE34">
        <f>5918210</f>
        <v>5918210</v>
      </c>
      <c r="BF34">
        <f>5469030</f>
        <v>5469030</v>
      </c>
      <c r="BG34">
        <f>4617360</f>
        <v>4617360</v>
      </c>
      <c r="BH34">
        <f>3924580</f>
        <v>3924580</v>
      </c>
      <c r="BI34">
        <f>3667440</f>
        <v>3667440</v>
      </c>
    </row>
    <row r="35" spans="1:61" x14ac:dyDescent="0.25">
      <c r="A35" t="str">
        <f>"        Passive Domestic Equity"</f>
        <v xml:space="preserve">        Passive Domestic Equity</v>
      </c>
      <c r="B35" t="str">
        <f>".BIATPDE G Index"</f>
        <v>.BIATPDE G Index</v>
      </c>
      <c r="C35" t="str">
        <f>"PR005"</f>
        <v>PR005</v>
      </c>
      <c r="D35" t="str">
        <f>"PX_LAST"</f>
        <v>PX_LAST</v>
      </c>
      <c r="E35" t="str">
        <f>"Dynamic"</f>
        <v>Dynamic</v>
      </c>
      <c r="F35">
        <f ca="1">IF(AND(ISNUMBER($F$90),$B$74=1),$F$90,HLOOKUP(INDIRECT(ADDRESS(2,COLUMN())),OFFSET($AH$2,0,0,ROW()-1,28),ROW()-1,FALSE))</f>
        <v>12814100</v>
      </c>
      <c r="G35">
        <f ca="1">IF(AND(ISNUMBER($G$90),$B$74=1),$G$90,HLOOKUP(INDIRECT(ADDRESS(2,COLUMN())),OFFSET($AH$2,0,0,ROW()-1,28),ROW()-1,FALSE))</f>
        <v>11885100</v>
      </c>
      <c r="H35">
        <f ca="1">IF(AND(ISNUMBER($H$90),$B$74=1),$H$90,HLOOKUP(INDIRECT(ADDRESS(2,COLUMN())),OFFSET($AH$2,0,0,ROW()-1,28),ROW()-1,FALSE))</f>
        <v>11190700</v>
      </c>
      <c r="I35">
        <f ca="1">IF(AND(ISNUMBER($I$90),$B$74=1),$I$90,HLOOKUP(INDIRECT(ADDRESS(2,COLUMN())),OFFSET($AH$2,0,0,ROW()-1,28),ROW()-1,FALSE))</f>
        <v>10049400</v>
      </c>
      <c r="J35">
        <f ca="1">IF(AND(ISNUMBER($J$90),$B$74=1),$J$90,HLOOKUP(INDIRECT(ADDRESS(2,COLUMN())),OFFSET($AH$2,0,0,ROW()-1,28),ROW()-1,FALSE))</f>
        <v>8758300</v>
      </c>
      <c r="K35">
        <f ca="1">IF(AND(ISNUMBER($K$90),$B$74=1),$K$90,HLOOKUP(INDIRECT(ADDRESS(2,COLUMN())),OFFSET($AH$2,0,0,ROW()-1,28),ROW()-1,FALSE))</f>
        <v>7930160</v>
      </c>
      <c r="L35">
        <f ca="1">IF(AND(ISNUMBER($L$90),$B$74=1),$L$90,HLOOKUP(INDIRECT(ADDRESS(2,COLUMN())),OFFSET($AH$2,0,0,ROW()-1,28),ROW()-1,FALSE))</f>
        <v>6943490</v>
      </c>
      <c r="M35">
        <f ca="1">IF(AND(ISNUMBER($M$90),$B$74=1),$M$90,HLOOKUP(INDIRECT(ADDRESS(2,COLUMN())),OFFSET($AH$2,0,0,ROW()-1,28),ROW()-1,FALSE))</f>
        <v>6721610</v>
      </c>
      <c r="N35">
        <f ca="1">IF(AND(ISNUMBER($N$90),$B$74=1),$N$90,HLOOKUP(INDIRECT(ADDRESS(2,COLUMN())),OFFSET($AH$2,0,0,ROW()-1,28),ROW()-1,FALSE))</f>
        <v>8202730</v>
      </c>
      <c r="O35">
        <f ca="1">IF(AND(ISNUMBER($O$90),$B$74=1),$O$90,HLOOKUP(INDIRECT(ADDRESS(2,COLUMN())),OFFSET($AH$2,0,0,ROW()-1,28),ROW()-1,FALSE))</f>
        <v>7386620</v>
      </c>
      <c r="P35">
        <f ca="1">IF(AND(ISNUMBER($P$90),$B$74=1),$P$90,HLOOKUP(INDIRECT(ADDRESS(2,COLUMN())),OFFSET($AH$2,0,0,ROW()-1,28),ROW()-1,FALSE))</f>
        <v>6238940</v>
      </c>
      <c r="Q35">
        <f ca="1">IF(AND(ISNUMBER($Q$90),$B$74=1),$Q$90,HLOOKUP(INDIRECT(ADDRESS(2,COLUMN())),OFFSET($AH$2,0,0,ROW()-1,28),ROW()-1,FALSE))</f>
        <v>5032850</v>
      </c>
      <c r="R35">
        <f ca="1">IF(AND(ISNUMBER($R$90),$B$74=1),$R$90,HLOOKUP(INDIRECT(ADDRESS(2,COLUMN())),OFFSET($AH$2,0,0,ROW()-1,28),ROW()-1,FALSE))</f>
        <v>5248890</v>
      </c>
      <c r="S35">
        <f ca="1">IF(AND(ISNUMBER($S$90),$B$74=1),$S$90,HLOOKUP(INDIRECT(ADDRESS(2,COLUMN())),OFFSET($AH$2,0,0,ROW()-1,28),ROW()-1,FALSE))</f>
        <v>4728930</v>
      </c>
      <c r="T35">
        <f ca="1">IF(AND(ISNUMBER($T$90),$B$74=1),$T$90,HLOOKUP(INDIRECT(ADDRESS(2,COLUMN())),OFFSET($AH$2,0,0,ROW()-1,28),ROW()-1,FALSE))</f>
        <v>3940280</v>
      </c>
      <c r="U35">
        <f ca="1">IF(AND(ISNUMBER($U$90),$B$74=1),$U$90,HLOOKUP(INDIRECT(ADDRESS(2,COLUMN())),OFFSET($AH$2,0,0,ROW()-1,28),ROW()-1,FALSE))</f>
        <v>4218050</v>
      </c>
      <c r="V35">
        <f ca="1">IF(AND(ISNUMBER($V$90),$B$74=1),$V$90,HLOOKUP(INDIRECT(ADDRESS(2,COLUMN())),OFFSET($AH$2,0,0,ROW()-1,28),ROW()-1,FALSE))</f>
        <v>4035350</v>
      </c>
      <c r="W35">
        <f ca="1">IF(AND(ISNUMBER($W$90),$B$74=1),$W$90,HLOOKUP(INDIRECT(ADDRESS(2,COLUMN())),OFFSET($AH$2,0,0,ROW()-1,28),ROW()-1,FALSE))</f>
        <v>3535910</v>
      </c>
      <c r="X35">
        <f ca="1">IF(AND(ISNUMBER($X$90),$B$74=1),$X$90,HLOOKUP(INDIRECT(ADDRESS(2,COLUMN())),OFFSET($AH$2,0,0,ROW()-1,28),ROW()-1,FALSE))</f>
        <v>3112890</v>
      </c>
      <c r="Y35">
        <f ca="1">IF(AND(ISNUMBER($Y$90),$B$74=1),$Y$90,HLOOKUP(INDIRECT(ADDRESS(2,COLUMN())),OFFSET($AH$2,0,0,ROW()-1,28),ROW()-1,FALSE))</f>
        <v>2728850</v>
      </c>
      <c r="Z35">
        <f ca="1">IF(AND(ISNUMBER($Z$90),$B$74=1),$Z$90,HLOOKUP(INDIRECT(ADDRESS(2,COLUMN())),OFFSET($AH$2,0,0,ROW()-1,28),ROW()-1,FALSE))</f>
        <v>2549620</v>
      </c>
      <c r="AA35">
        <f ca="1">IF(AND(ISNUMBER($AA$90),$B$74=1),$AA$90,HLOOKUP(INDIRECT(ADDRESS(2,COLUMN())),OFFSET($AH$2,0,0,ROW()-1,28),ROW()-1,FALSE))</f>
        <v>2574320</v>
      </c>
      <c r="AB35">
        <f ca="1">IF(AND(ISNUMBER($AB$90),$B$74=1),$AB$90,HLOOKUP(INDIRECT(ADDRESS(2,COLUMN())),OFFSET($AH$2,0,0,ROW()-1,28),ROW()-1,FALSE))</f>
        <v>2483870</v>
      </c>
      <c r="AC35">
        <f ca="1">IF(AND(ISNUMBER($AC$90),$B$74=1),$AC$90,HLOOKUP(INDIRECT(ADDRESS(2,COLUMN())),OFFSET($AH$2,0,0,ROW()-1,28),ROW()-1,FALSE))</f>
        <v>2253120</v>
      </c>
      <c r="AD35">
        <f ca="1">IF(AND(ISNUMBER($AD$90),$B$74=1),$AD$90,HLOOKUP(INDIRECT(ADDRESS(2,COLUMN())),OFFSET($AH$2,0,0,ROW()-1,28),ROW()-1,FALSE))</f>
        <v>2042170</v>
      </c>
      <c r="AE35">
        <f ca="1">IF(AND(ISNUMBER($AE$90),$B$74=1),$AE$90,HLOOKUP(INDIRECT(ADDRESS(2,COLUMN())),OFFSET($AH$2,0,0,ROW()-1,28),ROW()-1,FALSE))</f>
        <v>1690340</v>
      </c>
      <c r="AF35">
        <f ca="1">IF(AND(ISNUMBER($AF$90),$B$74=1),$AF$90,HLOOKUP(INDIRECT(ADDRESS(2,COLUMN())),OFFSET($AH$2,0,0,ROW()-1,28),ROW()-1,FALSE))</f>
        <v>1379420</v>
      </c>
      <c r="AG35">
        <f ca="1">IF(AND(ISNUMBER($AG$90),$B$74=1),$AG$90,HLOOKUP(INDIRECT(ADDRESS(2,COLUMN())),OFFSET($AH$2,0,0,ROW()-1,28),ROW()-1,FALSE))</f>
        <v>1270680</v>
      </c>
      <c r="AH35">
        <f>12814100</f>
        <v>12814100</v>
      </c>
      <c r="AI35">
        <f>11885100</f>
        <v>11885100</v>
      </c>
      <c r="AJ35">
        <f>11190700</f>
        <v>11190700</v>
      </c>
      <c r="AK35">
        <f>10049400</f>
        <v>10049400</v>
      </c>
      <c r="AL35">
        <f>8758300</f>
        <v>8758300</v>
      </c>
      <c r="AM35">
        <f>7930160</f>
        <v>7930160</v>
      </c>
      <c r="AN35">
        <f>6943490</f>
        <v>6943490</v>
      </c>
      <c r="AO35">
        <f>6721610</f>
        <v>6721610</v>
      </c>
      <c r="AP35">
        <f>8202730</f>
        <v>8202730</v>
      </c>
      <c r="AQ35">
        <f>7386620</f>
        <v>7386620</v>
      </c>
      <c r="AR35">
        <f>6238940</f>
        <v>6238940</v>
      </c>
      <c r="AS35">
        <f>5032850</f>
        <v>5032850</v>
      </c>
      <c r="AT35">
        <f>5248890</f>
        <v>5248890</v>
      </c>
      <c r="AU35">
        <f>4728930</f>
        <v>4728930</v>
      </c>
      <c r="AV35">
        <f>3940280</f>
        <v>3940280</v>
      </c>
      <c r="AW35">
        <f>4218050</f>
        <v>4218050</v>
      </c>
      <c r="AX35">
        <f>4035350</f>
        <v>4035350</v>
      </c>
      <c r="AY35">
        <f>3535910</f>
        <v>3535910</v>
      </c>
      <c r="AZ35">
        <f>3112890</f>
        <v>3112890</v>
      </c>
      <c r="BA35">
        <f>2728850</f>
        <v>2728850</v>
      </c>
      <c r="BB35">
        <f>2549620</f>
        <v>2549620</v>
      </c>
      <c r="BC35">
        <f>2574320</f>
        <v>2574320</v>
      </c>
      <c r="BD35">
        <f>2483870</f>
        <v>2483870</v>
      </c>
      <c r="BE35">
        <f>2253120</f>
        <v>2253120</v>
      </c>
      <c r="BF35">
        <f>2042170</f>
        <v>2042170</v>
      </c>
      <c r="BG35">
        <f>1690340</f>
        <v>1690340</v>
      </c>
      <c r="BH35">
        <f>1379420</f>
        <v>1379420</v>
      </c>
      <c r="BI35">
        <f>1270680</f>
        <v>1270680</v>
      </c>
    </row>
    <row r="36" spans="1:61" x14ac:dyDescent="0.25">
      <c r="A36" t="str">
        <f>"            Passive Domestic Equity Mutual Funds"</f>
        <v xml:space="preserve">            Passive Domestic Equity Mutual Funds</v>
      </c>
      <c r="B36" t="str">
        <f>".BIAMPDE G Index"</f>
        <v>.BIAMPDE G Index</v>
      </c>
      <c r="C36" t="str">
        <f>"PR005"</f>
        <v>PR005</v>
      </c>
      <c r="D36" t="str">
        <f>"PX_LAST"</f>
        <v>PX_LAST</v>
      </c>
      <c r="E36" t="str">
        <f>"Dynamic"</f>
        <v>Dynamic</v>
      </c>
      <c r="F36">
        <f ca="1">IF(AND(ISNUMBER($F$91),$B$74=1),$F$91,HLOOKUP(INDIRECT(ADDRESS(2,COLUMN())),OFFSET($AH$2,0,0,ROW()-1,28),ROW()-1,FALSE))</f>
        <v>5240690</v>
      </c>
      <c r="G36">
        <f ca="1">IF(AND(ISNUMBER($G$91),$B$74=1),$G$91,HLOOKUP(INDIRECT(ADDRESS(2,COLUMN())),OFFSET($AH$2,0,0,ROW()-1,28),ROW()-1,FALSE))</f>
        <v>5099340</v>
      </c>
      <c r="H36">
        <f ca="1">IF(AND(ISNUMBER($H$91),$B$74=1),$H$91,HLOOKUP(INDIRECT(ADDRESS(2,COLUMN())),OFFSET($AH$2,0,0,ROW()-1,28),ROW()-1,FALSE))</f>
        <v>4818500</v>
      </c>
      <c r="I36">
        <f ca="1">IF(AND(ISNUMBER($I$91),$B$74=1),$I$91,HLOOKUP(INDIRECT(ADDRESS(2,COLUMN())),OFFSET($AH$2,0,0,ROW()-1,28),ROW()-1,FALSE))</f>
        <v>4467590</v>
      </c>
      <c r="J36">
        <f ca="1">IF(AND(ISNUMBER($J$91),$B$74=1),$J$91,HLOOKUP(INDIRECT(ADDRESS(2,COLUMN())),OFFSET($AH$2,0,0,ROW()-1,28),ROW()-1,FALSE))</f>
        <v>3943510</v>
      </c>
      <c r="K36">
        <f ca="1">IF(AND(ISNUMBER($K$91),$B$74=1),$K$91,HLOOKUP(INDIRECT(ADDRESS(2,COLUMN())),OFFSET($AH$2,0,0,ROW()-1,28),ROW()-1,FALSE))</f>
        <v>3655000</v>
      </c>
      <c r="L36">
        <f ca="1">IF(AND(ISNUMBER($L$91),$B$74=1),$L$91,HLOOKUP(INDIRECT(ADDRESS(2,COLUMN())),OFFSET($AH$2,0,0,ROW()-1,28),ROW()-1,FALSE))</f>
        <v>3161320</v>
      </c>
      <c r="M36">
        <f ca="1">IF(AND(ISNUMBER($M$91),$B$74=1),$M$91,HLOOKUP(INDIRECT(ADDRESS(2,COLUMN())),OFFSET($AH$2,0,0,ROW()-1,28),ROW()-1,FALSE))</f>
        <v>3094730</v>
      </c>
      <c r="N36">
        <f ca="1">IF(AND(ISNUMBER($N$91),$B$74=1),$N$91,HLOOKUP(INDIRECT(ADDRESS(2,COLUMN())),OFFSET($AH$2,0,0,ROW()-1,28),ROW()-1,FALSE))</f>
        <v>3851880</v>
      </c>
      <c r="O36">
        <f ca="1">IF(AND(ISNUMBER($O$91),$B$74=1),$O$91,HLOOKUP(INDIRECT(ADDRESS(2,COLUMN())),OFFSET($AH$2,0,0,ROW()-1,28),ROW()-1,FALSE))</f>
        <v>3553700</v>
      </c>
      <c r="P36">
        <f ca="1">IF(AND(ISNUMBER($P$91),$B$74=1),$P$91,HLOOKUP(INDIRECT(ADDRESS(2,COLUMN())),OFFSET($AH$2,0,0,ROW()-1,28),ROW()-1,FALSE))</f>
        <v>3079170</v>
      </c>
      <c r="Q36">
        <f ca="1">IF(AND(ISNUMBER($Q$91),$B$74=1),$Q$91,HLOOKUP(INDIRECT(ADDRESS(2,COLUMN())),OFFSET($AH$2,0,0,ROW()-1,28),ROW()-1,FALSE))</f>
        <v>2540500</v>
      </c>
      <c r="R36">
        <f ca="1">IF(AND(ISNUMBER($R$91),$B$74=1),$R$91,HLOOKUP(INDIRECT(ADDRESS(2,COLUMN())),OFFSET($AH$2,0,0,ROW()-1,28),ROW()-1,FALSE))</f>
        <v>2677600</v>
      </c>
      <c r="S36">
        <f ca="1">IF(AND(ISNUMBER($S$91),$B$74=1),$S$91,HLOOKUP(INDIRECT(ADDRESS(2,COLUMN())),OFFSET($AH$2,0,0,ROW()-1,28),ROW()-1,FALSE))</f>
        <v>2445380</v>
      </c>
      <c r="T36">
        <f ca="1">IF(AND(ISNUMBER($T$91),$B$74=1),$T$91,HLOOKUP(INDIRECT(ADDRESS(2,COLUMN())),OFFSET($AH$2,0,0,ROW()-1,28),ROW()-1,FALSE))</f>
        <v>2021960</v>
      </c>
      <c r="U36">
        <f ca="1">IF(AND(ISNUMBER($U$91),$B$74=1),$U$91,HLOOKUP(INDIRECT(ADDRESS(2,COLUMN())),OFFSET($AH$2,0,0,ROW()-1,28),ROW()-1,FALSE))</f>
        <v>2166230</v>
      </c>
      <c r="V36">
        <f ca="1">IF(AND(ISNUMBER($V$91),$B$74=1),$V$91,HLOOKUP(INDIRECT(ADDRESS(2,COLUMN())),OFFSET($AH$2,0,0,ROW()-1,28),ROW()-1,FALSE))</f>
        <v>2068520</v>
      </c>
      <c r="W36">
        <f ca="1">IF(AND(ISNUMBER($W$91),$B$74=1),$W$91,HLOOKUP(INDIRECT(ADDRESS(2,COLUMN())),OFFSET($AH$2,0,0,ROW()-1,28),ROW()-1,FALSE))</f>
        <v>1849700</v>
      </c>
      <c r="X36">
        <f ca="1">IF(AND(ISNUMBER($X$91),$B$74=1),$X$91,HLOOKUP(INDIRECT(ADDRESS(2,COLUMN())),OFFSET($AH$2,0,0,ROW()-1,28),ROW()-1,FALSE))</f>
        <v>1603580</v>
      </c>
      <c r="Y36">
        <f ca="1">IF(AND(ISNUMBER($Y$91),$B$74=1),$Y$91,HLOOKUP(INDIRECT(ADDRESS(2,COLUMN())),OFFSET($AH$2,0,0,ROW()-1,28),ROW()-1,FALSE))</f>
        <v>1466350</v>
      </c>
      <c r="Z36">
        <f ca="1">IF(AND(ISNUMBER($Z$91),$B$74=1),$Z$91,HLOOKUP(INDIRECT(ADDRESS(2,COLUMN())),OFFSET($AH$2,0,0,ROW()-1,28),ROW()-1,FALSE))</f>
        <v>1366790</v>
      </c>
      <c r="AA36">
        <f ca="1">IF(AND(ISNUMBER($AA$91),$B$74=1),$AA$91,HLOOKUP(INDIRECT(ADDRESS(2,COLUMN())),OFFSET($AH$2,0,0,ROW()-1,28),ROW()-1,FALSE))</f>
        <v>1384710</v>
      </c>
      <c r="AB36">
        <f ca="1">IF(AND(ISNUMBER($AB$91),$B$74=1),$AB$91,HLOOKUP(INDIRECT(ADDRESS(2,COLUMN())),OFFSET($AH$2,0,0,ROW()-1,28),ROW()-1,FALSE))</f>
        <v>1320160</v>
      </c>
      <c r="AC36">
        <f ca="1">IF(AND(ISNUMBER($AC$91),$B$74=1),$AC$91,HLOOKUP(INDIRECT(ADDRESS(2,COLUMN())),OFFSET($AH$2,0,0,ROW()-1,28),ROW()-1,FALSE))</f>
        <v>1226410</v>
      </c>
      <c r="AD36">
        <f ca="1">IF(AND(ISNUMBER($AD$91),$B$74=1),$AD$91,HLOOKUP(INDIRECT(ADDRESS(2,COLUMN())),OFFSET($AH$2,0,0,ROW()-1,28),ROW()-1,FALSE))</f>
        <v>1103640</v>
      </c>
      <c r="AE36">
        <f ca="1">IF(AND(ISNUMBER($AE$91),$B$74=1),$AE$91,HLOOKUP(INDIRECT(ADDRESS(2,COLUMN())),OFFSET($AH$2,0,0,ROW()-1,28),ROW()-1,FALSE))</f>
        <v>922778</v>
      </c>
      <c r="AF36">
        <f ca="1">IF(AND(ISNUMBER($AF$91),$B$74=1),$AF$91,HLOOKUP(INDIRECT(ADDRESS(2,COLUMN())),OFFSET($AH$2,0,0,ROW()-1,28),ROW()-1,FALSE))</f>
        <v>779408</v>
      </c>
      <c r="AG36">
        <f ca="1">IF(AND(ISNUMBER($AG$91),$B$74=1),$AG$91,HLOOKUP(INDIRECT(ADDRESS(2,COLUMN())),OFFSET($AH$2,0,0,ROW()-1,28),ROW()-1,FALSE))</f>
        <v>717046</v>
      </c>
      <c r="AH36">
        <f>5240690</f>
        <v>5240690</v>
      </c>
      <c r="AI36">
        <f>5099340</f>
        <v>5099340</v>
      </c>
      <c r="AJ36">
        <f>4818500</f>
        <v>4818500</v>
      </c>
      <c r="AK36">
        <f>4467590</f>
        <v>4467590</v>
      </c>
      <c r="AL36">
        <f>3943510</f>
        <v>3943510</v>
      </c>
      <c r="AM36">
        <f>3655000</f>
        <v>3655000</v>
      </c>
      <c r="AN36">
        <f>3161320</f>
        <v>3161320</v>
      </c>
      <c r="AO36">
        <f>3094730</f>
        <v>3094730</v>
      </c>
      <c r="AP36">
        <f>3851880</f>
        <v>3851880</v>
      </c>
      <c r="AQ36">
        <f>3553700</f>
        <v>3553700</v>
      </c>
      <c r="AR36">
        <f>3079170</f>
        <v>3079170</v>
      </c>
      <c r="AS36">
        <f>2540500</f>
        <v>2540500</v>
      </c>
      <c r="AT36">
        <f>2677600</f>
        <v>2677600</v>
      </c>
      <c r="AU36">
        <f>2445380</f>
        <v>2445380</v>
      </c>
      <c r="AV36">
        <f>2021960</f>
        <v>2021960</v>
      </c>
      <c r="AW36">
        <f>2166230</f>
        <v>2166230</v>
      </c>
      <c r="AX36">
        <f>2068520</f>
        <v>2068520</v>
      </c>
      <c r="AY36">
        <f>1849700</f>
        <v>1849700</v>
      </c>
      <c r="AZ36">
        <f>1603580</f>
        <v>1603580</v>
      </c>
      <c r="BA36">
        <f>1466350</f>
        <v>1466350</v>
      </c>
      <c r="BB36">
        <f>1366790</f>
        <v>1366790</v>
      </c>
      <c r="BC36">
        <f>1384710</f>
        <v>1384710</v>
      </c>
      <c r="BD36">
        <f>1320160</f>
        <v>1320160</v>
      </c>
      <c r="BE36">
        <f>1226410</f>
        <v>1226410</v>
      </c>
      <c r="BF36">
        <f>1103640</f>
        <v>1103640</v>
      </c>
      <c r="BG36">
        <f>922778</f>
        <v>922778</v>
      </c>
      <c r="BH36">
        <f>779408</f>
        <v>779408</v>
      </c>
      <c r="BI36">
        <f>717046</f>
        <v>717046</v>
      </c>
    </row>
    <row r="37" spans="1:61" x14ac:dyDescent="0.25">
      <c r="A37" t="str">
        <f>"            Passive Domestic Equity ETFs"</f>
        <v xml:space="preserve">            Passive Domestic Equity ETFs</v>
      </c>
      <c r="B37" t="str">
        <f>""</f>
        <v/>
      </c>
      <c r="E37" t="str">
        <f>"Expression"</f>
        <v>Expression</v>
      </c>
      <c r="F37">
        <f ca="1">IF(AND($B$74=1,LEN($F$35) * LEN($F$36)&gt;0),$F$35-$F$36,HLOOKUP(INDIRECT(ADDRESS(2,COLUMN())),OFFSET($AH$2,0,0,ROW()-1,28),ROW()-1,FALSE))</f>
        <v>7573410</v>
      </c>
      <c r="G37">
        <f ca="1">IF(AND($B$74=1,LEN($G$35) * LEN($G$36)&gt;0),$G$35-$G$36,HLOOKUP(INDIRECT(ADDRESS(2,COLUMN())),OFFSET($AH$2,0,0,ROW()-1,28),ROW()-1,FALSE))</f>
        <v>6785760</v>
      </c>
      <c r="H37">
        <f ca="1">IF(AND($B$74=1,LEN($H$35) * LEN($H$36)&gt;0),$H$35-$H$36,HLOOKUP(INDIRECT(ADDRESS(2,COLUMN())),OFFSET($AH$2,0,0,ROW()-1,28),ROW()-1,FALSE))</f>
        <v>6372200</v>
      </c>
      <c r="I37">
        <f ca="1">IF(AND($B$74=1,LEN($I$35) * LEN($I$36)&gt;0),$I$35-$I$36,HLOOKUP(INDIRECT(ADDRESS(2,COLUMN())),OFFSET($AH$2,0,0,ROW()-1,28),ROW()-1,FALSE))</f>
        <v>5581810</v>
      </c>
      <c r="J37">
        <f ca="1">IF(AND($B$74=1,LEN($J$35) * LEN($J$36)&gt;0),$J$35-$J$36,HLOOKUP(INDIRECT(ADDRESS(2,COLUMN())),OFFSET($AH$2,0,0,ROW()-1,28),ROW()-1,FALSE))</f>
        <v>4814790</v>
      </c>
      <c r="K37">
        <f ca="1">IF(AND($B$74=1,LEN($K$35) * LEN($K$36)&gt;0),$K$35-$K$36,HLOOKUP(INDIRECT(ADDRESS(2,COLUMN())),OFFSET($AH$2,0,0,ROW()-1,28),ROW()-1,FALSE))</f>
        <v>4275160</v>
      </c>
      <c r="L37">
        <f ca="1">IF(AND($B$74=1,LEN($L$35) * LEN($L$36)&gt;0),$L$35-$L$36,HLOOKUP(INDIRECT(ADDRESS(2,COLUMN())),OFFSET($AH$2,0,0,ROW()-1,28),ROW()-1,FALSE))</f>
        <v>3782170</v>
      </c>
      <c r="M37">
        <f ca="1">IF(AND($B$74=1,LEN($M$35) * LEN($M$36)&gt;0),$M$35-$M$36,HLOOKUP(INDIRECT(ADDRESS(2,COLUMN())),OFFSET($AH$2,0,0,ROW()-1,28),ROW()-1,FALSE))</f>
        <v>3626880</v>
      </c>
      <c r="N37">
        <f ca="1">IF(AND($B$74=1,LEN($N$35) * LEN($N$36)&gt;0),$N$35-$N$36,HLOOKUP(INDIRECT(ADDRESS(2,COLUMN())),OFFSET($AH$2,0,0,ROW()-1,28),ROW()-1,FALSE))</f>
        <v>4350850</v>
      </c>
      <c r="O37">
        <f ca="1">IF(AND($B$74=1,LEN($O$35) * LEN($O$36)&gt;0),$O$35-$O$36,HLOOKUP(INDIRECT(ADDRESS(2,COLUMN())),OFFSET($AH$2,0,0,ROW()-1,28),ROW()-1,FALSE))</f>
        <v>3832920</v>
      </c>
      <c r="P37">
        <f ca="1">IF(AND($B$74=1,LEN($P$35) * LEN($P$36)&gt;0),$P$35-$P$36,HLOOKUP(INDIRECT(ADDRESS(2,COLUMN())),OFFSET($AH$2,0,0,ROW()-1,28),ROW()-1,FALSE))</f>
        <v>3159770</v>
      </c>
      <c r="Q37">
        <f ca="1">IF(AND($B$74=1,LEN($Q$35) * LEN($Q$36)&gt;0),$Q$35-$Q$36,HLOOKUP(INDIRECT(ADDRESS(2,COLUMN())),OFFSET($AH$2,0,0,ROW()-1,28),ROW()-1,FALSE))</f>
        <v>2492350</v>
      </c>
      <c r="R37">
        <f ca="1">IF(AND($B$74=1,LEN($R$35) * LEN($R$36)&gt;0),$R$35-$R$36,HLOOKUP(INDIRECT(ADDRESS(2,COLUMN())),OFFSET($AH$2,0,0,ROW()-1,28),ROW()-1,FALSE))</f>
        <v>2571290</v>
      </c>
      <c r="S37">
        <f ca="1">IF(AND($B$74=1,LEN($S$35) * LEN($S$36)&gt;0),$S$35-$S$36,HLOOKUP(INDIRECT(ADDRESS(2,COLUMN())),OFFSET($AH$2,0,0,ROW()-1,28),ROW()-1,FALSE))</f>
        <v>2283550</v>
      </c>
      <c r="T37">
        <f ca="1">IF(AND($B$74=1,LEN($T$35) * LEN($T$36)&gt;0),$T$35-$T$36,HLOOKUP(INDIRECT(ADDRESS(2,COLUMN())),OFFSET($AH$2,0,0,ROW()-1,28),ROW()-1,FALSE))</f>
        <v>1918320</v>
      </c>
      <c r="U37">
        <f ca="1">IF(AND($B$74=1,LEN($U$35) * LEN($U$36)&gt;0),$U$35-$U$36,HLOOKUP(INDIRECT(ADDRESS(2,COLUMN())),OFFSET($AH$2,0,0,ROW()-1,28),ROW()-1,FALSE))</f>
        <v>2051820</v>
      </c>
      <c r="V37">
        <f ca="1">IF(AND($B$74=1,LEN($V$35) * LEN($V$36)&gt;0),$V$35-$V$36,HLOOKUP(INDIRECT(ADDRESS(2,COLUMN())),OFFSET($AH$2,0,0,ROW()-1,28),ROW()-1,FALSE))</f>
        <v>1966830</v>
      </c>
      <c r="W37">
        <f ca="1">IF(AND($B$74=1,LEN($W$35) * LEN($W$36)&gt;0),$W$35-$W$36,HLOOKUP(INDIRECT(ADDRESS(2,COLUMN())),OFFSET($AH$2,0,0,ROW()-1,28),ROW()-1,FALSE))</f>
        <v>1686210</v>
      </c>
      <c r="X37">
        <f ca="1">IF(AND($B$74=1,LEN($X$35) * LEN($X$36)&gt;0),$X$35-$X$36,HLOOKUP(INDIRECT(ADDRESS(2,COLUMN())),OFFSET($AH$2,0,0,ROW()-1,28),ROW()-1,FALSE))</f>
        <v>1509310</v>
      </c>
      <c r="Y37">
        <f ca="1">IF(AND($B$74=1,LEN($Y$35) * LEN($Y$36)&gt;0),$Y$35-$Y$36,HLOOKUP(INDIRECT(ADDRESS(2,COLUMN())),OFFSET($AH$2,0,0,ROW()-1,28),ROW()-1,FALSE))</f>
        <v>1262500</v>
      </c>
      <c r="Z37">
        <f ca="1">IF(AND($B$74=1,LEN($Z$35) * LEN($Z$36)&gt;0),$Z$35-$Z$36,HLOOKUP(INDIRECT(ADDRESS(2,COLUMN())),OFFSET($AH$2,0,0,ROW()-1,28),ROW()-1,FALSE))</f>
        <v>1182830</v>
      </c>
      <c r="AA37">
        <f ca="1">IF(AND($B$74=1,LEN($AA$35) * LEN($AA$36)&gt;0),$AA$35-$AA$36,HLOOKUP(INDIRECT(ADDRESS(2,COLUMN())),OFFSET($AH$2,0,0,ROW()-1,28),ROW()-1,FALSE))</f>
        <v>1189610</v>
      </c>
      <c r="AB37">
        <f ca="1">IF(AND($B$74=1,LEN($AB$35) * LEN($AB$36)&gt;0),$AB$35-$AB$36,HLOOKUP(INDIRECT(ADDRESS(2,COLUMN())),OFFSET($AH$2,0,0,ROW()-1,28),ROW()-1,FALSE))</f>
        <v>1163710</v>
      </c>
      <c r="AC37">
        <f ca="1">IF(AND($B$74=1,LEN($AC$35) * LEN($AC$36)&gt;0),$AC$35-$AC$36,HLOOKUP(INDIRECT(ADDRESS(2,COLUMN())),OFFSET($AH$2,0,0,ROW()-1,28),ROW()-1,FALSE))</f>
        <v>1026710</v>
      </c>
      <c r="AD37">
        <f ca="1">IF(AND($B$74=1,LEN($AD$35) * LEN($AD$36)&gt;0),$AD$35-$AD$36,HLOOKUP(INDIRECT(ADDRESS(2,COLUMN())),OFFSET($AH$2,0,0,ROW()-1,28),ROW()-1,FALSE))</f>
        <v>938530</v>
      </c>
      <c r="AE37">
        <f ca="1">IF(AND($B$74=1,LEN($AE$35) * LEN($AE$36)&gt;0),$AE$35-$AE$36,HLOOKUP(INDIRECT(ADDRESS(2,COLUMN())),OFFSET($AH$2,0,0,ROW()-1,28),ROW()-1,FALSE))</f>
        <v>767562</v>
      </c>
      <c r="AF37">
        <f ca="1">IF(AND($B$74=1,LEN($AF$35) * LEN($AF$36)&gt;0),$AF$35-$AF$36,HLOOKUP(INDIRECT(ADDRESS(2,COLUMN())),OFFSET($AH$2,0,0,ROW()-1,28),ROW()-1,FALSE))</f>
        <v>600012</v>
      </c>
      <c r="AG37">
        <f ca="1">IF(AND($B$74=1,LEN($AG$35) * LEN($AG$36)&gt;0),$AG$35-$AG$36,HLOOKUP(INDIRECT(ADDRESS(2,COLUMN())),OFFSET($AH$2,0,0,ROW()-1,28),ROW()-1,FALSE))</f>
        <v>553634</v>
      </c>
      <c r="AH37">
        <f>7573410</f>
        <v>7573410</v>
      </c>
      <c r="AI37">
        <f>6785760</f>
        <v>6785760</v>
      </c>
      <c r="AJ37">
        <f>6372200</f>
        <v>6372200</v>
      </c>
      <c r="AK37">
        <f>5581810</f>
        <v>5581810</v>
      </c>
      <c r="AL37">
        <f>4814790</f>
        <v>4814790</v>
      </c>
      <c r="AM37">
        <f>4275160</f>
        <v>4275160</v>
      </c>
      <c r="AN37">
        <f>3782170</f>
        <v>3782170</v>
      </c>
      <c r="AO37">
        <f>3626880</f>
        <v>3626880</v>
      </c>
      <c r="AP37">
        <f>4350850</f>
        <v>4350850</v>
      </c>
      <c r="AQ37">
        <f>3832920</f>
        <v>3832920</v>
      </c>
      <c r="AR37">
        <f>3159770</f>
        <v>3159770</v>
      </c>
      <c r="AS37">
        <f>2492350</f>
        <v>2492350</v>
      </c>
      <c r="AT37">
        <f>2571290</f>
        <v>2571290</v>
      </c>
      <c r="AU37">
        <f>2283550</f>
        <v>2283550</v>
      </c>
      <c r="AV37">
        <f>1918320</f>
        <v>1918320</v>
      </c>
      <c r="AW37">
        <f>2051820</f>
        <v>2051820</v>
      </c>
      <c r="AX37">
        <f>1966830</f>
        <v>1966830</v>
      </c>
      <c r="AY37">
        <f>1686210</f>
        <v>1686210</v>
      </c>
      <c r="AZ37">
        <f>1509310</f>
        <v>1509310</v>
      </c>
      <c r="BA37">
        <f>1262500</f>
        <v>1262500</v>
      </c>
      <c r="BB37">
        <f>1182830</f>
        <v>1182830</v>
      </c>
      <c r="BC37">
        <f>1189610</f>
        <v>1189610</v>
      </c>
      <c r="BD37">
        <f>1163710</f>
        <v>1163710</v>
      </c>
      <c r="BE37">
        <f>1026710</f>
        <v>1026710</v>
      </c>
      <c r="BF37">
        <f>938530</f>
        <v>938530</v>
      </c>
      <c r="BG37">
        <f>767562</f>
        <v>767562</v>
      </c>
      <c r="BH37">
        <f>600012</f>
        <v>600012</v>
      </c>
      <c r="BI37">
        <f>553634</f>
        <v>553634</v>
      </c>
    </row>
    <row r="38" spans="1:61" x14ac:dyDescent="0.25">
      <c r="A38" t="str">
        <f>"        Active Domestic Equity"</f>
        <v xml:space="preserve">        Active Domestic Equity</v>
      </c>
      <c r="B38" t="str">
        <f>".BIATADE G Index"</f>
        <v>.BIATADE G Index</v>
      </c>
      <c r="C38" t="str">
        <f>"PR005"</f>
        <v>PR005</v>
      </c>
      <c r="D38" t="str">
        <f>"PX_LAST"</f>
        <v>PX_LAST</v>
      </c>
      <c r="E38" t="str">
        <f>"Dynamic"</f>
        <v>Dynamic</v>
      </c>
      <c r="F38">
        <f ca="1">IF(AND(ISNUMBER($F$92),$B$74=1),$F$92,HLOOKUP(INDIRECT(ADDRESS(2,COLUMN())),OFFSET($AH$2,0,0,ROW()-1,28),ROW()-1,FALSE))</f>
        <v>7165630</v>
      </c>
      <c r="G38">
        <f ca="1">IF(AND(ISNUMBER($G$92),$B$74=1),$G$92,HLOOKUP(INDIRECT(ADDRESS(2,COLUMN())),OFFSET($AH$2,0,0,ROW()-1,28),ROW()-1,FALSE))</f>
        <v>6783020</v>
      </c>
      <c r="H38">
        <f ca="1">IF(AND(ISNUMBER($H$92),$B$74=1),$H$92,HLOOKUP(INDIRECT(ADDRESS(2,COLUMN())),OFFSET($AH$2,0,0,ROW()-1,28),ROW()-1,FALSE))</f>
        <v>6583930</v>
      </c>
      <c r="I38">
        <f ca="1">IF(AND(ISNUMBER($I$92),$B$74=1),$I$92,HLOOKUP(INDIRECT(ADDRESS(2,COLUMN())),OFFSET($AH$2,0,0,ROW()-1,28),ROW()-1,FALSE))</f>
        <v>6377960</v>
      </c>
      <c r="J38">
        <f ca="1">IF(AND(ISNUMBER($J$92),$B$74=1),$J$92,HLOOKUP(INDIRECT(ADDRESS(2,COLUMN())),OFFSET($AH$2,0,0,ROW()-1,28),ROW()-1,FALSE))</f>
        <v>5747000</v>
      </c>
      <c r="K38">
        <f ca="1">IF(AND(ISNUMBER($K$92),$B$74=1),$K$92,HLOOKUP(INDIRECT(ADDRESS(2,COLUMN())),OFFSET($AH$2,0,0,ROW()-1,28),ROW()-1,FALSE))</f>
        <v>5419730</v>
      </c>
      <c r="L38">
        <f ca="1">IF(AND(ISNUMBER($L$92),$B$74=1),$L$92,HLOOKUP(INDIRECT(ADDRESS(2,COLUMN())),OFFSET($AH$2,0,0,ROW()-1,28),ROW()-1,FALSE))</f>
        <v>4885770</v>
      </c>
      <c r="M38">
        <f ca="1">IF(AND(ISNUMBER($M$92),$B$74=1),$M$92,HLOOKUP(INDIRECT(ADDRESS(2,COLUMN())),OFFSET($AH$2,0,0,ROW()-1,28),ROW()-1,FALSE))</f>
        <v>4926870</v>
      </c>
      <c r="N38">
        <f ca="1">IF(AND(ISNUMBER($N$92),$B$74=1),$N$92,HLOOKUP(INDIRECT(ADDRESS(2,COLUMN())),OFFSET($AH$2,0,0,ROW()-1,28),ROW()-1,FALSE))</f>
        <v>6390420</v>
      </c>
      <c r="O38">
        <f ca="1">IF(AND(ISNUMBER($O$92),$B$74=1),$O$92,HLOOKUP(INDIRECT(ADDRESS(2,COLUMN())),OFFSET($AH$2,0,0,ROW()-1,28),ROW()-1,FALSE))</f>
        <v>6160380</v>
      </c>
      <c r="P38">
        <f ca="1">IF(AND(ISNUMBER($P$92),$B$74=1),$P$92,HLOOKUP(INDIRECT(ADDRESS(2,COLUMN())),OFFSET($AH$2,0,0,ROW()-1,28),ROW()-1,FALSE))</f>
        <v>5459250</v>
      </c>
      <c r="Q38">
        <f ca="1">IF(AND(ISNUMBER($Q$92),$B$74=1),$Q$92,HLOOKUP(INDIRECT(ADDRESS(2,COLUMN())),OFFSET($AH$2,0,0,ROW()-1,28),ROW()-1,FALSE))</f>
        <v>4596040</v>
      </c>
      <c r="R38">
        <f ca="1">IF(AND(ISNUMBER($R$92),$B$74=1),$R$92,HLOOKUP(INDIRECT(ADDRESS(2,COLUMN())),OFFSET($AH$2,0,0,ROW()-1,28),ROW()-1,FALSE))</f>
        <v>4764160</v>
      </c>
      <c r="S38">
        <f ca="1">IF(AND(ISNUMBER($S$92),$B$74=1),$S$92,HLOOKUP(INDIRECT(ADDRESS(2,COLUMN())),OFFSET($AH$2,0,0,ROW()-1,28),ROW()-1,FALSE))</f>
        <v>4404150</v>
      </c>
      <c r="T38">
        <f ca="1">IF(AND(ISNUMBER($T$92),$B$74=1),$T$92,HLOOKUP(INDIRECT(ADDRESS(2,COLUMN())),OFFSET($AH$2,0,0,ROW()-1,28),ROW()-1,FALSE))</f>
        <v>3811600</v>
      </c>
      <c r="U38">
        <f ca="1">IF(AND(ISNUMBER($U$92),$B$74=1),$U$92,HLOOKUP(INDIRECT(ADDRESS(2,COLUMN())),OFFSET($AH$2,0,0,ROW()-1,28),ROW()-1,FALSE))</f>
        <v>4462550</v>
      </c>
      <c r="V38">
        <f ca="1">IF(AND(ISNUMBER($V$92),$B$74=1),$V$92,HLOOKUP(INDIRECT(ADDRESS(2,COLUMN())),OFFSET($AH$2,0,0,ROW()-1,28),ROW()-1,FALSE))</f>
        <v>4309760</v>
      </c>
      <c r="W38">
        <f ca="1">IF(AND(ISNUMBER($W$92),$B$74=1),$W$92,HLOOKUP(INDIRECT(ADDRESS(2,COLUMN())),OFFSET($AH$2,0,0,ROW()-1,28),ROW()-1,FALSE))</f>
        <v>4045130</v>
      </c>
      <c r="X38">
        <f ca="1">IF(AND(ISNUMBER($X$92),$B$74=1),$X$92,HLOOKUP(INDIRECT(ADDRESS(2,COLUMN())),OFFSET($AH$2,0,0,ROW()-1,28),ROW()-1,FALSE))</f>
        <v>3738490</v>
      </c>
      <c r="Y38">
        <f ca="1">IF(AND(ISNUMBER($Y$92),$B$74=1),$Y$92,HLOOKUP(INDIRECT(ADDRESS(2,COLUMN())),OFFSET($AH$2,0,0,ROW()-1,28),ROW()-1,FALSE))</f>
        <v>3588290</v>
      </c>
      <c r="Z38">
        <f ca="1">IF(AND(ISNUMBER($Z$92),$B$74=1),$Z$92,HLOOKUP(INDIRECT(ADDRESS(2,COLUMN())),OFFSET($AH$2,0,0,ROW()-1,28),ROW()-1,FALSE))</f>
        <v>3550440</v>
      </c>
      <c r="AA38">
        <f ca="1">IF(AND(ISNUMBER($AA$92),$B$74=1),$AA$92,HLOOKUP(INDIRECT(ADDRESS(2,COLUMN())),OFFSET($AH$2,0,0,ROW()-1,28),ROW()-1,FALSE))</f>
        <v>3773800</v>
      </c>
      <c r="AB38">
        <f ca="1">IF(AND(ISNUMBER($AB$92),$B$74=1),$AB$92,HLOOKUP(INDIRECT(ADDRESS(2,COLUMN())),OFFSET($AH$2,0,0,ROW()-1,28),ROW()-1,FALSE))</f>
        <v>3702600</v>
      </c>
      <c r="AC38">
        <f ca="1">IF(AND(ISNUMBER($AC$92),$B$74=1),$AC$92,HLOOKUP(INDIRECT(ADDRESS(2,COLUMN())),OFFSET($AH$2,0,0,ROW()-1,28),ROW()-1,FALSE))</f>
        <v>3665090</v>
      </c>
      <c r="AD38">
        <f ca="1">IF(AND(ISNUMBER($AD$92),$B$74=1),$AD$92,HLOOKUP(INDIRECT(ADDRESS(2,COLUMN())),OFFSET($AH$2,0,0,ROW()-1,28),ROW()-1,FALSE))</f>
        <v>3426860</v>
      </c>
      <c r="AE38">
        <f ca="1">IF(AND(ISNUMBER($AE$92),$B$74=1),$AE$92,HLOOKUP(INDIRECT(ADDRESS(2,COLUMN())),OFFSET($AH$2,0,0,ROW()-1,28),ROW()-1,FALSE))</f>
        <v>2927020</v>
      </c>
      <c r="AF38">
        <f ca="1">IF(AND(ISNUMBER($AF$92),$B$74=1),$AF$92,HLOOKUP(INDIRECT(ADDRESS(2,COLUMN())),OFFSET($AH$2,0,0,ROW()-1,28),ROW()-1,FALSE))</f>
        <v>2545160</v>
      </c>
      <c r="AG38">
        <f ca="1">IF(AND(ISNUMBER($AG$92),$B$74=1),$AG$92,HLOOKUP(INDIRECT(ADDRESS(2,COLUMN())),OFFSET($AH$2,0,0,ROW()-1,28),ROW()-1,FALSE))</f>
        <v>2396760</v>
      </c>
      <c r="AH38">
        <f>7165630</f>
        <v>7165630</v>
      </c>
      <c r="AI38">
        <f>6783020</f>
        <v>6783020</v>
      </c>
      <c r="AJ38">
        <f>6583930</f>
        <v>6583930</v>
      </c>
      <c r="AK38">
        <f>6377960</f>
        <v>6377960</v>
      </c>
      <c r="AL38">
        <f>5747000</f>
        <v>5747000</v>
      </c>
      <c r="AM38">
        <f>5419730</f>
        <v>5419730</v>
      </c>
      <c r="AN38">
        <f>4885770</f>
        <v>4885770</v>
      </c>
      <c r="AO38">
        <f>4926870</f>
        <v>4926870</v>
      </c>
      <c r="AP38">
        <f>6390420</f>
        <v>6390420</v>
      </c>
      <c r="AQ38">
        <f>6160380</f>
        <v>6160380</v>
      </c>
      <c r="AR38">
        <f>5459250</f>
        <v>5459250</v>
      </c>
      <c r="AS38">
        <f>4596040</f>
        <v>4596040</v>
      </c>
      <c r="AT38">
        <f>4764160</f>
        <v>4764160</v>
      </c>
      <c r="AU38">
        <f>4404150</f>
        <v>4404150</v>
      </c>
      <c r="AV38">
        <f>3811600</f>
        <v>3811600</v>
      </c>
      <c r="AW38">
        <f>4462550</f>
        <v>4462550</v>
      </c>
      <c r="AX38">
        <f>4309760</f>
        <v>4309760</v>
      </c>
      <c r="AY38">
        <f>4045130</f>
        <v>4045130</v>
      </c>
      <c r="AZ38">
        <f>3738490</f>
        <v>3738490</v>
      </c>
      <c r="BA38">
        <f>3588290</f>
        <v>3588290</v>
      </c>
      <c r="BB38">
        <f>3550440</f>
        <v>3550440</v>
      </c>
      <c r="BC38">
        <f>3773800</f>
        <v>3773800</v>
      </c>
      <c r="BD38">
        <f>3702600</f>
        <v>3702600</v>
      </c>
      <c r="BE38">
        <f>3665090</f>
        <v>3665090</v>
      </c>
      <c r="BF38">
        <f>3426860</f>
        <v>3426860</v>
      </c>
      <c r="BG38">
        <f>2927020</f>
        <v>2927020</v>
      </c>
      <c r="BH38">
        <f>2545160</f>
        <v>2545160</v>
      </c>
      <c r="BI38">
        <f>2396760</f>
        <v>2396760</v>
      </c>
    </row>
    <row r="39" spans="1:61" x14ac:dyDescent="0.25">
      <c r="A39" t="str">
        <f>"            Active Domestic Equity Mutual Funds"</f>
        <v xml:space="preserve">            Active Domestic Equity Mutual Funds</v>
      </c>
      <c r="B39" t="str">
        <f>".BIAMADE G Index"</f>
        <v>.BIAMADE G Index</v>
      </c>
      <c r="C39" t="str">
        <f>"PR005"</f>
        <v>PR005</v>
      </c>
      <c r="D39" t="str">
        <f>"PX_LAST"</f>
        <v>PX_LAST</v>
      </c>
      <c r="E39" t="str">
        <f>"Dynamic"</f>
        <v>Dynamic</v>
      </c>
      <c r="F39">
        <f ca="1">IF(AND(ISNUMBER($F$93),$B$74=1),$F$93,HLOOKUP(INDIRECT(ADDRESS(2,COLUMN())),OFFSET($AH$2,0,0,ROW()-1,28),ROW()-1,FALSE))</f>
        <v>6491070</v>
      </c>
      <c r="G39">
        <f ca="1">IF(AND(ISNUMBER($G$93),$B$74=1),$G$93,HLOOKUP(INDIRECT(ADDRESS(2,COLUMN())),OFFSET($AH$2,0,0,ROW()-1,28),ROW()-1,FALSE))</f>
        <v>6215450</v>
      </c>
      <c r="H39">
        <f ca="1">IF(AND(ISNUMBER($H$93),$B$74=1),$H$93,HLOOKUP(INDIRECT(ADDRESS(2,COLUMN())),OFFSET($AH$2,0,0,ROW()-1,28),ROW()-1,FALSE))</f>
        <v>6111570</v>
      </c>
      <c r="I39">
        <f ca="1">IF(AND(ISNUMBER($I$93),$B$74=1),$I$93,HLOOKUP(INDIRECT(ADDRESS(2,COLUMN())),OFFSET($AH$2,0,0,ROW()-1,28),ROW()-1,FALSE))</f>
        <v>5997400</v>
      </c>
      <c r="J39">
        <f ca="1">IF(AND(ISNUMBER($J$93),$B$74=1),$J$93,HLOOKUP(INDIRECT(ADDRESS(2,COLUMN())),OFFSET($AH$2,0,0,ROW()-1,28),ROW()-1,FALSE))</f>
        <v>5453020</v>
      </c>
      <c r="K39">
        <f ca="1">IF(AND(ISNUMBER($K$93),$B$74=1),$K$93,HLOOKUP(INDIRECT(ADDRESS(2,COLUMN())),OFFSET($AH$2,0,0,ROW()-1,28),ROW()-1,FALSE))</f>
        <v>5188460</v>
      </c>
      <c r="L39">
        <f ca="1">IF(AND(ISNUMBER($L$93),$B$74=1),$L$93,HLOOKUP(INDIRECT(ADDRESS(2,COLUMN())),OFFSET($AH$2,0,0,ROW()-1,28),ROW()-1,FALSE))</f>
        <v>4708720</v>
      </c>
      <c r="M39">
        <f ca="1">IF(AND(ISNUMBER($M$93),$B$74=1),$M$93,HLOOKUP(INDIRECT(ADDRESS(2,COLUMN())),OFFSET($AH$2,0,0,ROW()-1,28),ROW()-1,FALSE))</f>
        <v>4780260</v>
      </c>
      <c r="N39">
        <f ca="1">IF(AND(ISNUMBER($N$93),$B$74=1),$N$93,HLOOKUP(INDIRECT(ADDRESS(2,COLUMN())),OFFSET($AH$2,0,0,ROW()-1,28),ROW()-1,FALSE))</f>
        <v>6244090</v>
      </c>
      <c r="O39">
        <f ca="1">IF(AND(ISNUMBER($O$93),$B$74=1),$O$93,HLOOKUP(INDIRECT(ADDRESS(2,COLUMN())),OFFSET($AH$2,0,0,ROW()-1,28),ROW()-1,FALSE))</f>
        <v>6023210</v>
      </c>
      <c r="P39">
        <f ca="1">IF(AND(ISNUMBER($P$93),$B$74=1),$P$93,HLOOKUP(INDIRECT(ADDRESS(2,COLUMN())),OFFSET($AH$2,0,0,ROW()-1,28),ROW()-1,FALSE))</f>
        <v>5355340</v>
      </c>
      <c r="Q39">
        <f ca="1">IF(AND(ISNUMBER($Q$93),$B$74=1),$Q$93,HLOOKUP(INDIRECT(ADDRESS(2,COLUMN())),OFFSET($AH$2,0,0,ROW()-1,28),ROW()-1,FALSE))</f>
        <v>4534540</v>
      </c>
      <c r="R39">
        <f ca="1">IF(AND(ISNUMBER($R$93),$B$74=1),$R$93,HLOOKUP(INDIRECT(ADDRESS(2,COLUMN())),OFFSET($AH$2,0,0,ROW()-1,28),ROW()-1,FALSE))</f>
        <v>4702860</v>
      </c>
      <c r="S39">
        <f ca="1">IF(AND(ISNUMBER($S$93),$B$74=1),$S$93,HLOOKUP(INDIRECT(ADDRESS(2,COLUMN())),OFFSET($AH$2,0,0,ROW()-1,28),ROW()-1,FALSE))</f>
        <v>4348510</v>
      </c>
      <c r="T39">
        <f ca="1">IF(AND(ISNUMBER($T$93),$B$74=1),$T$93,HLOOKUP(INDIRECT(ADDRESS(2,COLUMN())),OFFSET($AH$2,0,0,ROW()-1,28),ROW()-1,FALSE))</f>
        <v>3765390</v>
      </c>
      <c r="U39">
        <f ca="1">IF(AND(ISNUMBER($U$93),$B$74=1),$U$93,HLOOKUP(INDIRECT(ADDRESS(2,COLUMN())),OFFSET($AH$2,0,0,ROW()-1,28),ROW()-1,FALSE))</f>
        <v>4409170</v>
      </c>
      <c r="V39">
        <f ca="1">IF(AND(ISNUMBER($V$93),$B$74=1),$V$93,HLOOKUP(INDIRECT(ADDRESS(2,COLUMN())),OFFSET($AH$2,0,0,ROW()-1,28),ROW()-1,FALSE))</f>
        <v>4261780</v>
      </c>
      <c r="W39">
        <f ca="1">IF(AND(ISNUMBER($W$93),$B$74=1),$W$93,HLOOKUP(INDIRECT(ADDRESS(2,COLUMN())),OFFSET($AH$2,0,0,ROW()-1,28),ROW()-1,FALSE))</f>
        <v>4005170</v>
      </c>
      <c r="X39">
        <f ca="1">IF(AND(ISNUMBER($X$93),$B$74=1),$X$93,HLOOKUP(INDIRECT(ADDRESS(2,COLUMN())),OFFSET($AH$2,0,0,ROW()-1,28),ROW()-1,FALSE))</f>
        <v>3701450</v>
      </c>
      <c r="Y39">
        <f ca="1">IF(AND(ISNUMBER($Y$93),$B$74=1),$Y$93,HLOOKUP(INDIRECT(ADDRESS(2,COLUMN())),OFFSET($AH$2,0,0,ROW()-1,28),ROW()-1,FALSE))</f>
        <v>3556620</v>
      </c>
      <c r="Z39">
        <f ca="1">IF(AND(ISNUMBER($Z$93),$B$74=1),$Z$93,HLOOKUP(INDIRECT(ADDRESS(2,COLUMN())),OFFSET($AH$2,0,0,ROW()-1,28),ROW()-1,FALSE))</f>
        <v>3521710</v>
      </c>
      <c r="AA39">
        <f ca="1">IF(AND(ISNUMBER($AA$93),$B$74=1),$AA$93,HLOOKUP(INDIRECT(ADDRESS(2,COLUMN())),OFFSET($AH$2,0,0,ROW()-1,28),ROW()-1,FALSE))</f>
        <v>3742320</v>
      </c>
      <c r="AB39">
        <f ca="1">IF(AND(ISNUMBER($AB$93),$B$74=1),$AB$93,HLOOKUP(INDIRECT(ADDRESS(2,COLUMN())),OFFSET($AH$2,0,0,ROW()-1,28),ROW()-1,FALSE))</f>
        <v>3673680</v>
      </c>
      <c r="AC39">
        <f ca="1">IF(AND(ISNUMBER($AC$93),$B$74=1),$AC$93,HLOOKUP(INDIRECT(ADDRESS(2,COLUMN())),OFFSET($AH$2,0,0,ROW()-1,28),ROW()-1,FALSE))</f>
        <v>3637220</v>
      </c>
      <c r="AD39">
        <f ca="1">IF(AND(ISNUMBER($AD$93),$B$74=1),$AD$93,HLOOKUP(INDIRECT(ADDRESS(2,COLUMN())),OFFSET($AH$2,0,0,ROW()-1,28),ROW()-1,FALSE))</f>
        <v>3401960</v>
      </c>
      <c r="AE39">
        <f ca="1">IF(AND(ISNUMBER($AE$93),$B$74=1),$AE$93,HLOOKUP(INDIRECT(ADDRESS(2,COLUMN())),OFFSET($AH$2,0,0,ROW()-1,28),ROW()-1,FALSE))</f>
        <v>2905830</v>
      </c>
      <c r="AF39">
        <f ca="1">IF(AND(ISNUMBER($AF$93),$B$74=1),$AF$93,HLOOKUP(INDIRECT(ADDRESS(2,COLUMN())),OFFSET($AH$2,0,0,ROW()-1,28),ROW()-1,FALSE))</f>
        <v>2527520</v>
      </c>
      <c r="AG39">
        <f ca="1">IF(AND(ISNUMBER($AG$93),$B$74=1),$AG$93,HLOOKUP(INDIRECT(ADDRESS(2,COLUMN())),OFFSET($AH$2,0,0,ROW()-1,28),ROW()-1,FALSE))</f>
        <v>2380790</v>
      </c>
      <c r="AH39">
        <f>6491070</f>
        <v>6491070</v>
      </c>
      <c r="AI39">
        <f>6215450</f>
        <v>6215450</v>
      </c>
      <c r="AJ39">
        <f>6111570</f>
        <v>6111570</v>
      </c>
      <c r="AK39">
        <f>5997400</f>
        <v>5997400</v>
      </c>
      <c r="AL39">
        <f>5453020</f>
        <v>5453020</v>
      </c>
      <c r="AM39">
        <f>5188460</f>
        <v>5188460</v>
      </c>
      <c r="AN39">
        <f>4708720</f>
        <v>4708720</v>
      </c>
      <c r="AO39">
        <f>4780260</f>
        <v>4780260</v>
      </c>
      <c r="AP39">
        <f>6244090</f>
        <v>6244090</v>
      </c>
      <c r="AQ39">
        <f>6023210</f>
        <v>6023210</v>
      </c>
      <c r="AR39">
        <f>5355340</f>
        <v>5355340</v>
      </c>
      <c r="AS39">
        <f>4534540</f>
        <v>4534540</v>
      </c>
      <c r="AT39">
        <f>4702860</f>
        <v>4702860</v>
      </c>
      <c r="AU39">
        <f>4348510</f>
        <v>4348510</v>
      </c>
      <c r="AV39">
        <f>3765390</f>
        <v>3765390</v>
      </c>
      <c r="AW39">
        <f>4409170</f>
        <v>4409170</v>
      </c>
      <c r="AX39">
        <f>4261780</f>
        <v>4261780</v>
      </c>
      <c r="AY39">
        <f>4005170</f>
        <v>4005170</v>
      </c>
      <c r="AZ39">
        <f>3701450</f>
        <v>3701450</v>
      </c>
      <c r="BA39">
        <f>3556620</f>
        <v>3556620</v>
      </c>
      <c r="BB39">
        <f>3521710</f>
        <v>3521710</v>
      </c>
      <c r="BC39">
        <f>3742320</f>
        <v>3742320</v>
      </c>
      <c r="BD39">
        <f>3673680</f>
        <v>3673680</v>
      </c>
      <c r="BE39">
        <f>3637220</f>
        <v>3637220</v>
      </c>
      <c r="BF39">
        <f>3401960</f>
        <v>3401960</v>
      </c>
      <c r="BG39">
        <f>2905830</f>
        <v>2905830</v>
      </c>
      <c r="BH39">
        <f>2527520</f>
        <v>2527520</v>
      </c>
      <c r="BI39">
        <f>2380790</f>
        <v>2380790</v>
      </c>
    </row>
    <row r="40" spans="1:61" x14ac:dyDescent="0.25">
      <c r="A40" t="str">
        <f>"            Active Domestic Equity ETFs"</f>
        <v xml:space="preserve">            Active Domestic Equity ETFs</v>
      </c>
      <c r="B40" t="str">
        <f>""</f>
        <v/>
      </c>
      <c r="E40" t="str">
        <f>"Expression"</f>
        <v>Expression</v>
      </c>
      <c r="F40">
        <f ca="1">IF(AND($B$74=1,LEN($F$38) * LEN($F$39)&gt;0),$F$38-$F$39,HLOOKUP(INDIRECT(ADDRESS(2,COLUMN())),OFFSET($AH$2,0,0,ROW()-1,28),ROW()-1,FALSE))</f>
        <v>674560</v>
      </c>
      <c r="G40">
        <f ca="1">IF(AND($B$74=1,LEN($G$38) * LEN($G$39)&gt;0),$G$38-$G$39,HLOOKUP(INDIRECT(ADDRESS(2,COLUMN())),OFFSET($AH$2,0,0,ROW()-1,28),ROW()-1,FALSE))</f>
        <v>567570</v>
      </c>
      <c r="H40">
        <f ca="1">IF(AND($B$74=1,LEN($H$38) * LEN($H$39)&gt;0),$H$38-$H$39,HLOOKUP(INDIRECT(ADDRESS(2,COLUMN())),OFFSET($AH$2,0,0,ROW()-1,28),ROW()-1,FALSE))</f>
        <v>472360</v>
      </c>
      <c r="I40">
        <f ca="1">IF(AND($B$74=1,LEN($I$38) * LEN($I$39)&gt;0),$I$38-$I$39,HLOOKUP(INDIRECT(ADDRESS(2,COLUMN())),OFFSET($AH$2,0,0,ROW()-1,28),ROW()-1,FALSE))</f>
        <v>380560</v>
      </c>
      <c r="J40">
        <f ca="1">IF(AND($B$74=1,LEN($J$38) * LEN($J$39)&gt;0),$J$38-$J$39,HLOOKUP(INDIRECT(ADDRESS(2,COLUMN())),OFFSET($AH$2,0,0,ROW()-1,28),ROW()-1,FALSE))</f>
        <v>293980</v>
      </c>
      <c r="K40">
        <f ca="1">IF(AND($B$74=1,LEN($K$38) * LEN($K$39)&gt;0),$K$38-$K$39,HLOOKUP(INDIRECT(ADDRESS(2,COLUMN())),OFFSET($AH$2,0,0,ROW()-1,28),ROW()-1,FALSE))</f>
        <v>231270</v>
      </c>
      <c r="L40">
        <f ca="1">IF(AND($B$74=1,LEN($L$38) * LEN($L$39)&gt;0),$L$38-$L$39,HLOOKUP(INDIRECT(ADDRESS(2,COLUMN())),OFFSET($AH$2,0,0,ROW()-1,28),ROW()-1,FALSE))</f>
        <v>177050</v>
      </c>
      <c r="M40">
        <f ca="1">IF(AND($B$74=1,LEN($M$38) * LEN($M$39)&gt;0),$M$38-$M$39,HLOOKUP(INDIRECT(ADDRESS(2,COLUMN())),OFFSET($AH$2,0,0,ROW()-1,28),ROW()-1,FALSE))</f>
        <v>146610</v>
      </c>
      <c r="N40">
        <f ca="1">IF(AND($B$74=1,LEN($N$38) * LEN($N$39)&gt;0),$N$38-$N$39,HLOOKUP(INDIRECT(ADDRESS(2,COLUMN())),OFFSET($AH$2,0,0,ROW()-1,28),ROW()-1,FALSE))</f>
        <v>146330</v>
      </c>
      <c r="O40">
        <f ca="1">IF(AND($B$74=1,LEN($O$38) * LEN($O$39)&gt;0),$O$38-$O$39,HLOOKUP(INDIRECT(ADDRESS(2,COLUMN())),OFFSET($AH$2,0,0,ROW()-1,28),ROW()-1,FALSE))</f>
        <v>137170</v>
      </c>
      <c r="P40">
        <f ca="1">IF(AND($B$74=1,LEN($P$38) * LEN($P$39)&gt;0),$P$38-$P$39,HLOOKUP(INDIRECT(ADDRESS(2,COLUMN())),OFFSET($AH$2,0,0,ROW()-1,28),ROW()-1,FALSE))</f>
        <v>103910</v>
      </c>
      <c r="Q40">
        <f ca="1">IF(AND($B$74=1,LEN($Q$38) * LEN($Q$39)&gt;0),$Q$38-$Q$39,HLOOKUP(INDIRECT(ADDRESS(2,COLUMN())),OFFSET($AH$2,0,0,ROW()-1,28),ROW()-1,FALSE))</f>
        <v>61500</v>
      </c>
      <c r="R40">
        <f ca="1">IF(AND($B$74=1,LEN($R$38) * LEN($R$39)&gt;0),$R$38-$R$39,HLOOKUP(INDIRECT(ADDRESS(2,COLUMN())),OFFSET($AH$2,0,0,ROW()-1,28),ROW()-1,FALSE))</f>
        <v>61300</v>
      </c>
      <c r="S40">
        <f ca="1">IF(AND($B$74=1,LEN($S$38) * LEN($S$39)&gt;0),$S$38-$S$39,HLOOKUP(INDIRECT(ADDRESS(2,COLUMN())),OFFSET($AH$2,0,0,ROW()-1,28),ROW()-1,FALSE))</f>
        <v>55640</v>
      </c>
      <c r="T40">
        <f ca="1">IF(AND($B$74=1,LEN($T$38) * LEN($T$39)&gt;0),$T$38-$T$39,HLOOKUP(INDIRECT(ADDRESS(2,COLUMN())),OFFSET($AH$2,0,0,ROW()-1,28),ROW()-1,FALSE))</f>
        <v>46210</v>
      </c>
      <c r="U40">
        <f ca="1">IF(AND($B$74=1,LEN($U$38) * LEN($U$39)&gt;0),$U$38-$U$39,HLOOKUP(INDIRECT(ADDRESS(2,COLUMN())),OFFSET($AH$2,0,0,ROW()-1,28),ROW()-1,FALSE))</f>
        <v>53380</v>
      </c>
      <c r="V40">
        <f ca="1">IF(AND($B$74=1,LEN($V$38) * LEN($V$39)&gt;0),$V$38-$V$39,HLOOKUP(INDIRECT(ADDRESS(2,COLUMN())),OFFSET($AH$2,0,0,ROW()-1,28),ROW()-1,FALSE))</f>
        <v>47980</v>
      </c>
      <c r="W40">
        <f ca="1">IF(AND($B$74=1,LEN($W$38) * LEN($W$39)&gt;0),$W$38-$W$39,HLOOKUP(INDIRECT(ADDRESS(2,COLUMN())),OFFSET($AH$2,0,0,ROW()-1,28),ROW()-1,FALSE))</f>
        <v>39960</v>
      </c>
      <c r="X40">
        <f ca="1">IF(AND($B$74=1,LEN($X$38) * LEN($X$39)&gt;0),$X$38-$X$39,HLOOKUP(INDIRECT(ADDRESS(2,COLUMN())),OFFSET($AH$2,0,0,ROW()-1,28),ROW()-1,FALSE))</f>
        <v>37040</v>
      </c>
      <c r="Y40">
        <f ca="1">IF(AND($B$74=1,LEN($Y$38) * LEN($Y$39)&gt;0),$Y$38-$Y$39,HLOOKUP(INDIRECT(ADDRESS(2,COLUMN())),OFFSET($AH$2,0,0,ROW()-1,28),ROW()-1,FALSE))</f>
        <v>31670</v>
      </c>
      <c r="Z40">
        <f ca="1">IF(AND($B$74=1,LEN($Z$38) * LEN($Z$39)&gt;0),$Z$38-$Z$39,HLOOKUP(INDIRECT(ADDRESS(2,COLUMN())),OFFSET($AH$2,0,0,ROW()-1,28),ROW()-1,FALSE))</f>
        <v>28730</v>
      </c>
      <c r="AA40">
        <f ca="1">IF(AND($B$74=1,LEN($AA$38) * LEN($AA$39)&gt;0),$AA$38-$AA$39,HLOOKUP(INDIRECT(ADDRESS(2,COLUMN())),OFFSET($AH$2,0,0,ROW()-1,28),ROW()-1,FALSE))</f>
        <v>31480</v>
      </c>
      <c r="AB40">
        <f ca="1">IF(AND($B$74=1,LEN($AB$38) * LEN($AB$39)&gt;0),$AB$38-$AB$39,HLOOKUP(INDIRECT(ADDRESS(2,COLUMN())),OFFSET($AH$2,0,0,ROW()-1,28),ROW()-1,FALSE))</f>
        <v>28920</v>
      </c>
      <c r="AC40">
        <f ca="1">IF(AND($B$74=1,LEN($AC$38) * LEN($AC$39)&gt;0),$AC$38-$AC$39,HLOOKUP(INDIRECT(ADDRESS(2,COLUMN())),OFFSET($AH$2,0,0,ROW()-1,28),ROW()-1,FALSE))</f>
        <v>27870</v>
      </c>
      <c r="AD40">
        <f ca="1">IF(AND($B$74=1,LEN($AD$38) * LEN($AD$39)&gt;0),$AD$38-$AD$39,HLOOKUP(INDIRECT(ADDRESS(2,COLUMN())),OFFSET($AH$2,0,0,ROW()-1,28),ROW()-1,FALSE))</f>
        <v>24900</v>
      </c>
      <c r="AE40">
        <f ca="1">IF(AND($B$74=1,LEN($AE$38) * LEN($AE$39)&gt;0),$AE$38-$AE$39,HLOOKUP(INDIRECT(ADDRESS(2,COLUMN())),OFFSET($AH$2,0,0,ROW()-1,28),ROW()-1,FALSE))</f>
        <v>21190</v>
      </c>
      <c r="AF40">
        <f ca="1">IF(AND($B$74=1,LEN($AF$38) * LEN($AF$39)&gt;0),$AF$38-$AF$39,HLOOKUP(INDIRECT(ADDRESS(2,COLUMN())),OFFSET($AH$2,0,0,ROW()-1,28),ROW()-1,FALSE))</f>
        <v>17640</v>
      </c>
      <c r="AG40">
        <f ca="1">IF(AND($B$74=1,LEN($AG$38) * LEN($AG$39)&gt;0),$AG$38-$AG$39,HLOOKUP(INDIRECT(ADDRESS(2,COLUMN())),OFFSET($AH$2,0,0,ROW()-1,28),ROW()-1,FALSE))</f>
        <v>15970</v>
      </c>
      <c r="AH40">
        <f>674560</f>
        <v>674560</v>
      </c>
      <c r="AI40">
        <f>567570</f>
        <v>567570</v>
      </c>
      <c r="AJ40">
        <f>472360</f>
        <v>472360</v>
      </c>
      <c r="AK40">
        <f>380560</f>
        <v>380560</v>
      </c>
      <c r="AL40">
        <f>293980</f>
        <v>293980</v>
      </c>
      <c r="AM40">
        <f>231270</f>
        <v>231270</v>
      </c>
      <c r="AN40">
        <f>177050</f>
        <v>177050</v>
      </c>
      <c r="AO40">
        <f>146610</f>
        <v>146610</v>
      </c>
      <c r="AP40">
        <f>146330</f>
        <v>146330</v>
      </c>
      <c r="AQ40">
        <f>137170</f>
        <v>137170</v>
      </c>
      <c r="AR40">
        <f>103910</f>
        <v>103910</v>
      </c>
      <c r="AS40">
        <f>61500</f>
        <v>61500</v>
      </c>
      <c r="AT40">
        <f>61300</f>
        <v>61300</v>
      </c>
      <c r="AU40">
        <f>55640</f>
        <v>55640</v>
      </c>
      <c r="AV40">
        <f>46210</f>
        <v>46210</v>
      </c>
      <c r="AW40">
        <f>53380</f>
        <v>53380</v>
      </c>
      <c r="AX40">
        <f>47980</f>
        <v>47980</v>
      </c>
      <c r="AY40">
        <f>39960</f>
        <v>39960</v>
      </c>
      <c r="AZ40">
        <f>37040</f>
        <v>37040</v>
      </c>
      <c r="BA40">
        <f>31670</f>
        <v>31670</v>
      </c>
      <c r="BB40">
        <f>28730</f>
        <v>28730</v>
      </c>
      <c r="BC40">
        <f>31480</f>
        <v>31480</v>
      </c>
      <c r="BD40">
        <f>28920</f>
        <v>28920</v>
      </c>
      <c r="BE40">
        <f>27870</f>
        <v>27870</v>
      </c>
      <c r="BF40">
        <f>24900</f>
        <v>24900</v>
      </c>
      <c r="BG40">
        <f>21190</f>
        <v>21190</v>
      </c>
      <c r="BH40">
        <f>17640</f>
        <v>17640</v>
      </c>
      <c r="BI40">
        <f>15970</f>
        <v>15970</v>
      </c>
    </row>
    <row r="41" spans="1:61" x14ac:dyDescent="0.25">
      <c r="A41" t="str">
        <f>"    Non-Domestic Equity Funds"</f>
        <v xml:space="preserve">    Non-Domestic Equity Funds</v>
      </c>
      <c r="B41" t="str">
        <f>""</f>
        <v/>
      </c>
      <c r="E41" t="str">
        <f>"Sum"</f>
        <v>Sum</v>
      </c>
      <c r="F41">
        <f ca="1">IF(ISERROR(IF(SUM($F$42,$F$45) = 0, "", SUM($F$42,$F$45))), "", (IF(SUM($F$42,$F$45) = 0, "", SUM($F$42,$F$45))))</f>
        <v>5551120</v>
      </c>
      <c r="G41">
        <f ca="1">IF(ISERROR(IF(SUM($G$42,$G$45) = 0, "", SUM($G$42,$G$45))), "", (IF(SUM($G$42,$G$45) = 0, "", SUM($G$42,$G$45))))</f>
        <v>5050990</v>
      </c>
      <c r="H41">
        <f ca="1">IF(ISERROR(IF(SUM($H$42,$H$45) = 0, "", SUM($H$42,$H$45))), "", (IF(SUM($H$42,$H$45) = 0, "", SUM($H$42,$H$45))))</f>
        <v>4358280</v>
      </c>
      <c r="I41">
        <f ca="1">IF(ISERROR(IF(SUM($I$42,$I$45) = 0, "", SUM($I$42,$I$45))), "", (IF(SUM($I$42,$I$45) = 0, "", SUM($I$42,$I$45))))</f>
        <v>4408450</v>
      </c>
      <c r="J41">
        <f ca="1">IF(ISERROR(IF(SUM($J$42,$J$45) = 0, "", SUM($J$42,$J$45))), "", (IF(SUM($J$42,$J$45) = 0, "", SUM($J$42,$J$45))))</f>
        <v>4088620</v>
      </c>
      <c r="K41">
        <f ca="1">IF(ISERROR(IF(SUM($K$42,$K$45) = 0, "", SUM($K$42,$K$45))), "", (IF(SUM($K$42,$K$45) = 0, "", SUM($K$42,$K$45))))</f>
        <v>3941090</v>
      </c>
      <c r="L41">
        <f ca="1">IF(ISERROR(IF(SUM($L$42,$L$45) = 0, "", SUM($L$42,$L$45))), "", (IF(SUM($L$42,$L$45) = 0, "", SUM($L$42,$L$45))))</f>
        <v>3602060</v>
      </c>
      <c r="M41">
        <f ca="1">IF(ISERROR(IF(SUM($M$42,$M$45) = 0, "", SUM($M$42,$M$45))), "", (IF(SUM($M$42,$M$45) = 0, "", SUM($M$42,$M$45))))</f>
        <v>3583460</v>
      </c>
      <c r="N41">
        <f ca="1">IF(ISERROR(IF(SUM($N$42,$N$45) = 0, "", SUM($N$42,$N$45))), "", (IF(SUM($N$42,$N$45) = 0, "", SUM($N$42,$N$45))))</f>
        <v>4492900</v>
      </c>
      <c r="O41">
        <f ca="1">IF(ISERROR(IF(SUM($O$42,$O$45) = 0, "", SUM($O$42,$O$45))), "", (IF(SUM($O$42,$O$45) = 0, "", SUM($O$42,$O$45))))</f>
        <v>4462070</v>
      </c>
      <c r="P41">
        <f ca="1">IF(ISERROR(IF(SUM($P$42,$P$45) = 0, "", SUM($P$42,$P$45))), "", (IF(SUM($P$42,$P$45) = 0, "", SUM($P$42,$P$45))))</f>
        <v>4046780</v>
      </c>
      <c r="Q41">
        <f ca="1">IF(ISERROR(IF(SUM($Q$42,$Q$45) = 0, "", SUM($Q$42,$Q$45))), "", (IF(SUM($Q$42,$Q$45) = 0, "", SUM($Q$42,$Q$45))))</f>
        <v>3326320</v>
      </c>
      <c r="R41">
        <f ca="1">IF(ISERROR(IF(SUM($R$42,$R$45) = 0, "", SUM($R$42,$R$45))), "", (IF(SUM($R$42,$R$45) = 0, "", SUM($R$42,$R$45))))</f>
        <v>3636230</v>
      </c>
      <c r="S41">
        <f ca="1">IF(ISERROR(IF(SUM($S$42,$S$45) = 0, "", SUM($S$42,$S$45))), "", (IF(SUM($S$42,$S$45) = 0, "", SUM($S$42,$S$45))))</f>
        <v>3303400</v>
      </c>
      <c r="T41">
        <f ca="1">IF(ISERROR(IF(SUM($T$42,$T$45) = 0, "", SUM($T$42,$T$45))), "", (IF(SUM($T$42,$T$45) = 0, "", SUM($T$42,$T$45))))</f>
        <v>2949770</v>
      </c>
      <c r="U41">
        <f ca="1">IF(ISERROR(IF(SUM($U$42,$U$45) = 0, "", SUM($U$42,$U$45))), "", (IF(SUM($U$42,$U$45) = 0, "", SUM($U$42,$U$45))))</f>
        <v>3371910</v>
      </c>
      <c r="V41">
        <f ca="1">IF(ISERROR(IF(SUM($V$42,$V$45) = 0, "", SUM($V$42,$V$45))), "", (IF(SUM($V$42,$V$45) = 0, "", SUM($V$42,$V$45))))</f>
        <v>3423470</v>
      </c>
      <c r="W41">
        <f ca="1">IF(ISERROR(IF(SUM($W$42,$W$45) = 0, "", SUM($W$42,$W$45))), "", (IF(SUM($W$42,$W$45) = 0, "", SUM($W$42,$W$45))))</f>
        <v>2976710</v>
      </c>
      <c r="X41">
        <f ca="1">IF(ISERROR(IF(SUM($X$42,$X$45) = 0, "", SUM($X$42,$X$45))), "", (IF(SUM($X$42,$X$45) = 0, "", SUM($X$42,$X$45))))</f>
        <v>2494094</v>
      </c>
      <c r="Y41">
        <f ca="1">IF(ISERROR(IF(SUM($Y$42,$Y$45) = 0, "", SUM($Y$42,$Y$45))), "", (IF(SUM($Y$42,$Y$45) = 0, "", SUM($Y$42,$Y$45))))</f>
        <v>2409833</v>
      </c>
      <c r="Z41">
        <f ca="1">IF(ISERROR(IF(SUM($Z$42,$Z$45) = 0, "", SUM($Z$42,$Z$45))), "", (IF(SUM($Z$42,$Z$45) = 0, "", SUM($Z$42,$Z$45))))</f>
        <v>2366760</v>
      </c>
      <c r="AA41">
        <f ca="1">IF(ISERROR(IF(SUM($AA$42,$AA$45) = 0, "", SUM($AA$42,$AA$45))), "", (IF(SUM($AA$42,$AA$45) = 0, "", SUM($AA$42,$AA$45))))</f>
        <v>2571359</v>
      </c>
      <c r="AB41">
        <f ca="1">IF(ISERROR(IF(SUM($AB$42,$AB$45) = 0, "", SUM($AB$42,$AB$45))), "", (IF(SUM($AB$42,$AB$45) = 0, "", SUM($AB$42,$AB$45))))</f>
        <v>2302150</v>
      </c>
      <c r="AC41">
        <f ca="1">IF(ISERROR(IF(SUM($AC$42,$AC$45) = 0, "", SUM($AC$42,$AC$45))), "", (IF(SUM($AC$42,$AC$45) = 0, "", SUM($AC$42,$AC$45))))</f>
        <v>2437783</v>
      </c>
      <c r="AD41">
        <f ca="1">IF(ISERROR(IF(SUM($AD$42,$AD$45) = 0, "", SUM($AD$42,$AD$45))), "", (IF(SUM($AD$42,$AD$45) = 0, "", SUM($AD$42,$AD$45))))</f>
        <v>2157951</v>
      </c>
      <c r="AE41">
        <f ca="1">IF(ISERROR(IF(SUM($AE$42,$AE$45) = 0, "", SUM($AE$42,$AE$45))), "", (IF(SUM($AE$42,$AE$45) = 0, "", SUM($AE$42,$AE$45))))</f>
        <v>1805410</v>
      </c>
      <c r="AF41">
        <f ca="1">IF(ISERROR(IF(SUM($AF$42,$AF$45) = 0, "", SUM($AF$42,$AF$45))), "", (IF(SUM($AF$42,$AF$45) = 0, "", SUM($AF$42,$AF$45))))</f>
        <v>1679381</v>
      </c>
      <c r="AG41">
        <f ca="1">IF(ISERROR(IF(SUM($AG$42,$AG$45) = 0, "", SUM($AG$42,$AG$45))), "", (IF(SUM($AG$42,$AG$45) = 0, "", SUM($AG$42,$AG$45))))</f>
        <v>1424893</v>
      </c>
      <c r="AH41">
        <f>5551120</f>
        <v>5551120</v>
      </c>
      <c r="AI41">
        <f>5050990</f>
        <v>5050990</v>
      </c>
      <c r="AJ41">
        <f>4358280</f>
        <v>4358280</v>
      </c>
      <c r="AK41">
        <f>4408450</f>
        <v>4408450</v>
      </c>
      <c r="AL41">
        <f>4088620</f>
        <v>4088620</v>
      </c>
      <c r="AM41">
        <f>3941090</f>
        <v>3941090</v>
      </c>
      <c r="AN41">
        <f>3602060</f>
        <v>3602060</v>
      </c>
      <c r="AO41">
        <f>3583460</f>
        <v>3583460</v>
      </c>
      <c r="AP41">
        <f>4492900</f>
        <v>4492900</v>
      </c>
      <c r="AQ41">
        <f>4462070</f>
        <v>4462070</v>
      </c>
      <c r="AR41">
        <f>4046780</f>
        <v>4046780</v>
      </c>
      <c r="AS41">
        <f>3326320</f>
        <v>3326320</v>
      </c>
      <c r="AT41">
        <f>3636230</f>
        <v>3636230</v>
      </c>
      <c r="AU41">
        <f>3303400</f>
        <v>3303400</v>
      </c>
      <c r="AV41">
        <f>2949770</f>
        <v>2949770</v>
      </c>
      <c r="AW41">
        <f>3371910</f>
        <v>3371910</v>
      </c>
      <c r="AX41">
        <f>3423470</f>
        <v>3423470</v>
      </c>
      <c r="AY41">
        <f>2976710</f>
        <v>2976710</v>
      </c>
      <c r="AZ41">
        <f>2494094</f>
        <v>2494094</v>
      </c>
      <c r="BA41">
        <f>2409833</f>
        <v>2409833</v>
      </c>
      <c r="BB41">
        <f>2366760</f>
        <v>2366760</v>
      </c>
      <c r="BC41">
        <f>2571359</f>
        <v>2571359</v>
      </c>
      <c r="BD41">
        <f>2302150</f>
        <v>2302150</v>
      </c>
      <c r="BE41">
        <f>2437783</f>
        <v>2437783</v>
      </c>
      <c r="BF41">
        <f>2157951</f>
        <v>2157951</v>
      </c>
      <c r="BG41">
        <f>1805410</f>
        <v>1805410</v>
      </c>
      <c r="BH41">
        <f>1679381</f>
        <v>1679381</v>
      </c>
      <c r="BI41">
        <f>1424893</f>
        <v>1424893</v>
      </c>
    </row>
    <row r="42" spans="1:61" x14ac:dyDescent="0.25">
      <c r="A42" t="str">
        <f>"        Passive Non-Domestic Equity"</f>
        <v xml:space="preserve">        Passive Non-Domestic Equity</v>
      </c>
      <c r="B42" t="str">
        <f>".BIATPNE G Index"</f>
        <v>.BIATPNE G Index</v>
      </c>
      <c r="C42" t="str">
        <f>"PR005"</f>
        <v>PR005</v>
      </c>
      <c r="D42" t="str">
        <f>"PX_LAST"</f>
        <v>PX_LAST</v>
      </c>
      <c r="E42" t="str">
        <f>"Dynamic"</f>
        <v>Dynamic</v>
      </c>
      <c r="F42">
        <f ca="1">IF(AND(ISNUMBER($F$94),$B$74=1),$F$94,HLOOKUP(INDIRECT(ADDRESS(2,COLUMN())),OFFSET($AH$2,0,0,ROW()-1,28),ROW()-1,FALSE))</f>
        <v>2803510</v>
      </c>
      <c r="G42">
        <f ca="1">IF(AND(ISNUMBER($G$94),$B$74=1),$G$94,HLOOKUP(INDIRECT(ADDRESS(2,COLUMN())),OFFSET($AH$2,0,0,ROW()-1,28),ROW()-1,FALSE))</f>
        <v>2484120</v>
      </c>
      <c r="H42">
        <f ca="1">IF(AND(ISNUMBER($H$94),$B$74=1),$H$94,HLOOKUP(INDIRECT(ADDRESS(2,COLUMN())),OFFSET($AH$2,0,0,ROW()-1,28),ROW()-1,FALSE))</f>
        <v>2085450</v>
      </c>
      <c r="I42">
        <f ca="1">IF(AND(ISNUMBER($I$94),$B$74=1),$I$94,HLOOKUP(INDIRECT(ADDRESS(2,COLUMN())),OFFSET($AH$2,0,0,ROW()-1,28),ROW()-1,FALSE))</f>
        <v>2081390</v>
      </c>
      <c r="J42">
        <f ca="1">IF(AND(ISNUMBER($J$94),$B$74=1),$J$94,HLOOKUP(INDIRECT(ADDRESS(2,COLUMN())),OFFSET($AH$2,0,0,ROW()-1,28),ROW()-1,FALSE))</f>
        <v>1920890</v>
      </c>
      <c r="K42">
        <f ca="1">IF(AND(ISNUMBER($K$94),$B$74=1),$K$94,HLOOKUP(INDIRECT(ADDRESS(2,COLUMN())),OFFSET($AH$2,0,0,ROW()-1,28),ROW()-1,FALSE))</f>
        <v>1821010</v>
      </c>
      <c r="L42">
        <f ca="1">IF(AND(ISNUMBER($L$94),$B$74=1),$L$94,HLOOKUP(INDIRECT(ADDRESS(2,COLUMN())),OFFSET($AH$2,0,0,ROW()-1,28),ROW()-1,FALSE))</f>
        <v>1659370</v>
      </c>
      <c r="M42">
        <f ca="1">IF(AND(ISNUMBER($M$94),$B$74=1),$M$94,HLOOKUP(INDIRECT(ADDRESS(2,COLUMN())),OFFSET($AH$2,0,0,ROW()-1,28),ROW()-1,FALSE))</f>
        <v>1603710</v>
      </c>
      <c r="N42">
        <f ca="1">IF(AND(ISNUMBER($N$94),$B$74=1),$N$94,HLOOKUP(INDIRECT(ADDRESS(2,COLUMN())),OFFSET($AH$2,0,0,ROW()-1,28),ROW()-1,FALSE))</f>
        <v>1926880</v>
      </c>
      <c r="O42">
        <f ca="1">IF(AND(ISNUMBER($O$94),$B$74=1),$O$94,HLOOKUP(INDIRECT(ADDRESS(2,COLUMN())),OFFSET($AH$2,0,0,ROW()-1,28),ROW()-1,FALSE))</f>
        <v>1869600</v>
      </c>
      <c r="P42">
        <f ca="1">IF(AND(ISNUMBER($P$94),$B$74=1),$P$94,HLOOKUP(INDIRECT(ADDRESS(2,COLUMN())),OFFSET($AH$2,0,0,ROW()-1,28),ROW()-1,FALSE))</f>
        <v>1666250</v>
      </c>
      <c r="Q42">
        <f ca="1">IF(AND(ISNUMBER($Q$94),$B$74=1),$Q$94,HLOOKUP(INDIRECT(ADDRESS(2,COLUMN())),OFFSET($AH$2,0,0,ROW()-1,28),ROW()-1,FALSE))</f>
        <v>1374940</v>
      </c>
      <c r="R42">
        <f ca="1">IF(AND(ISNUMBER($R$94),$B$74=1),$R$94,HLOOKUP(INDIRECT(ADDRESS(2,COLUMN())),OFFSET($AH$2,0,0,ROW()-1,28),ROW()-1,FALSE))</f>
        <v>1524740</v>
      </c>
      <c r="S42">
        <f ca="1">IF(AND(ISNUMBER($S$94),$B$74=1),$S$94,HLOOKUP(INDIRECT(ADDRESS(2,COLUMN())),OFFSET($AH$2,0,0,ROW()-1,28),ROW()-1,FALSE))</f>
        <v>1396660</v>
      </c>
      <c r="T42">
        <f ca="1">IF(AND(ISNUMBER($T$94),$B$74=1),$T$94,HLOOKUP(INDIRECT(ADDRESS(2,COLUMN())),OFFSET($AH$2,0,0,ROW()-1,28),ROW()-1,FALSE))</f>
        <v>1233450</v>
      </c>
      <c r="U42">
        <f ca="1">IF(AND(ISNUMBER($U$94),$B$74=1),$U$94,HLOOKUP(INDIRECT(ADDRESS(2,COLUMN())),OFFSET($AH$2,0,0,ROW()-1,28),ROW()-1,FALSE))</f>
        <v>1306300</v>
      </c>
      <c r="V42">
        <f ca="1">IF(AND(ISNUMBER($V$94),$B$74=1),$V$94,HLOOKUP(INDIRECT(ADDRESS(2,COLUMN())),OFFSET($AH$2,0,0,ROW()-1,28),ROW()-1,FALSE))</f>
        <v>1313370</v>
      </c>
      <c r="W42">
        <f ca="1">IF(AND(ISNUMBER($W$94),$B$74=1),$W$94,HLOOKUP(INDIRECT(ADDRESS(2,COLUMN())),OFFSET($AH$2,0,0,ROW()-1,28),ROW()-1,FALSE))</f>
        <v>1093110</v>
      </c>
      <c r="X42">
        <f ca="1">IF(AND(ISNUMBER($X$94),$B$74=1),$X$94,HLOOKUP(INDIRECT(ADDRESS(2,COLUMN())),OFFSET($AH$2,0,0,ROW()-1,28),ROW()-1,FALSE))</f>
        <v>844804</v>
      </c>
      <c r="Y42">
        <f ca="1">IF(AND(ISNUMBER($Y$94),$B$74=1),$Y$94,HLOOKUP(INDIRECT(ADDRESS(2,COLUMN())),OFFSET($AH$2,0,0,ROW()-1,28),ROW()-1,FALSE))</f>
        <v>777643</v>
      </c>
      <c r="Z42">
        <f ca="1">IF(AND(ISNUMBER($Z$94),$B$74=1),$Z$94,HLOOKUP(INDIRECT(ADDRESS(2,COLUMN())),OFFSET($AH$2,0,0,ROW()-1,28),ROW()-1,FALSE))</f>
        <v>753890</v>
      </c>
      <c r="AA42">
        <f ca="1">IF(AND(ISNUMBER($AA$94),$B$74=1),$AA$94,HLOOKUP(INDIRECT(ADDRESS(2,COLUMN())),OFFSET($AH$2,0,0,ROW()-1,28),ROW()-1,FALSE))</f>
        <v>791309</v>
      </c>
      <c r="AB42">
        <f ca="1">IF(AND(ISNUMBER($AB$94),$B$74=1),$AB$94,HLOOKUP(INDIRECT(ADDRESS(2,COLUMN())),OFFSET($AH$2,0,0,ROW()-1,28),ROW()-1,FALSE))</f>
        <v>640660</v>
      </c>
      <c r="AC42">
        <f ca="1">IF(AND(ISNUMBER($AC$94),$B$74=1),$AC$94,HLOOKUP(INDIRECT(ADDRESS(2,COLUMN())),OFFSET($AH$2,0,0,ROW()-1,28),ROW()-1,FALSE))</f>
        <v>669293</v>
      </c>
      <c r="AD42">
        <f ca="1">IF(AND(ISNUMBER($AD$94),$B$74=1),$AD$94,HLOOKUP(INDIRECT(ADDRESS(2,COLUMN())),OFFSET($AH$2,0,0,ROW()-1,28),ROW()-1,FALSE))</f>
        <v>579361</v>
      </c>
      <c r="AE42">
        <f ca="1">IF(AND(ISNUMBER($AE$94),$B$74=1),$AE$94,HLOOKUP(INDIRECT(ADDRESS(2,COLUMN())),OFFSET($AH$2,0,0,ROW()-1,28),ROW()-1,FALSE))</f>
        <v>474550</v>
      </c>
      <c r="AF42">
        <f ca="1">IF(AND(ISNUMBER($AF$94),$B$74=1),$AF$94,HLOOKUP(INDIRECT(ADDRESS(2,COLUMN())),OFFSET($AH$2,0,0,ROW()-1,28),ROW()-1,FALSE))</f>
        <v>471261</v>
      </c>
      <c r="AG42">
        <f ca="1">IF(AND(ISNUMBER($AG$94),$B$74=1),$AG$94,HLOOKUP(INDIRECT(ADDRESS(2,COLUMN())),OFFSET($AH$2,0,0,ROW()-1,28),ROW()-1,FALSE))</f>
        <v>372153</v>
      </c>
      <c r="AH42">
        <f>2803510</f>
        <v>2803510</v>
      </c>
      <c r="AI42">
        <f>2484120</f>
        <v>2484120</v>
      </c>
      <c r="AJ42">
        <f>2085450</f>
        <v>2085450</v>
      </c>
      <c r="AK42">
        <f>2081390</f>
        <v>2081390</v>
      </c>
      <c r="AL42">
        <f>1920890</f>
        <v>1920890</v>
      </c>
      <c r="AM42">
        <f>1821010</f>
        <v>1821010</v>
      </c>
      <c r="AN42">
        <f>1659370</f>
        <v>1659370</v>
      </c>
      <c r="AO42">
        <f>1603710</f>
        <v>1603710</v>
      </c>
      <c r="AP42">
        <f>1926880</f>
        <v>1926880</v>
      </c>
      <c r="AQ42">
        <f>1869600</f>
        <v>1869600</v>
      </c>
      <c r="AR42">
        <f>1666250</f>
        <v>1666250</v>
      </c>
      <c r="AS42">
        <f>1374940</f>
        <v>1374940</v>
      </c>
      <c r="AT42">
        <f>1524740</f>
        <v>1524740</v>
      </c>
      <c r="AU42">
        <f>1396660</f>
        <v>1396660</v>
      </c>
      <c r="AV42">
        <f>1233450</f>
        <v>1233450</v>
      </c>
      <c r="AW42">
        <f>1306300</f>
        <v>1306300</v>
      </c>
      <c r="AX42">
        <f>1313370</f>
        <v>1313370</v>
      </c>
      <c r="AY42">
        <f>1093110</f>
        <v>1093110</v>
      </c>
      <c r="AZ42">
        <f>844804</f>
        <v>844804</v>
      </c>
      <c r="BA42">
        <f>777643</f>
        <v>777643</v>
      </c>
      <c r="BB42">
        <f>753890</f>
        <v>753890</v>
      </c>
      <c r="BC42">
        <f>791309</f>
        <v>791309</v>
      </c>
      <c r="BD42">
        <f>640660</f>
        <v>640660</v>
      </c>
      <c r="BE42">
        <f>669293</f>
        <v>669293</v>
      </c>
      <c r="BF42">
        <f>579361</f>
        <v>579361</v>
      </c>
      <c r="BG42">
        <f>474550</f>
        <v>474550</v>
      </c>
      <c r="BH42">
        <f>471261</f>
        <v>471261</v>
      </c>
      <c r="BI42">
        <f>372153</f>
        <v>372153</v>
      </c>
    </row>
    <row r="43" spans="1:61" x14ac:dyDescent="0.25">
      <c r="A43" t="str">
        <f>"            Passive Non-Domestic Equity Mutual Funds"</f>
        <v xml:space="preserve">            Passive Non-Domestic Equity Mutual Funds</v>
      </c>
      <c r="B43" t="str">
        <f>".BIAMPNE G Index"</f>
        <v>.BIAMPNE G Index</v>
      </c>
      <c r="C43" t="str">
        <f>"PR005"</f>
        <v>PR005</v>
      </c>
      <c r="D43" t="str">
        <f>"PX_LAST"</f>
        <v>PX_LAST</v>
      </c>
      <c r="E43" t="str">
        <f>"Dynamic"</f>
        <v>Dynamic</v>
      </c>
      <c r="F43">
        <f ca="1">IF(AND(ISNUMBER($F$95),$B$74=1),$F$95,HLOOKUP(INDIRECT(ADDRESS(2,COLUMN())),OFFSET($AH$2,0,0,ROW()-1,28),ROW()-1,FALSE))</f>
        <v>970725</v>
      </c>
      <c r="G43">
        <f ca="1">IF(AND(ISNUMBER($G$95),$B$74=1),$G$95,HLOOKUP(INDIRECT(ADDRESS(2,COLUMN())),OFFSET($AH$2,0,0,ROW()-1,28),ROW()-1,FALSE))</f>
        <v>890019</v>
      </c>
      <c r="H43">
        <f ca="1">IF(AND(ISNUMBER($H$95),$B$74=1),$H$95,HLOOKUP(INDIRECT(ADDRESS(2,COLUMN())),OFFSET($AH$2,0,0,ROW()-1,28),ROW()-1,FALSE))</f>
        <v>762550</v>
      </c>
      <c r="I43">
        <f ca="1">IF(AND(ISNUMBER($I$95),$B$74=1),$I$95,HLOOKUP(INDIRECT(ADDRESS(2,COLUMN())),OFFSET($AH$2,0,0,ROW()-1,28),ROW()-1,FALSE))</f>
        <v>753077</v>
      </c>
      <c r="J43">
        <f ca="1">IF(AND(ISNUMBER($J$95),$B$74=1),$J$95,HLOOKUP(INDIRECT(ADDRESS(2,COLUMN())),OFFSET($AH$2,0,0,ROW()-1,28),ROW()-1,FALSE))</f>
        <v>702504</v>
      </c>
      <c r="K43">
        <f ca="1">IF(AND(ISNUMBER($K$95),$B$74=1),$K$95,HLOOKUP(INDIRECT(ADDRESS(2,COLUMN())),OFFSET($AH$2,0,0,ROW()-1,28),ROW()-1,FALSE))</f>
        <v>658159</v>
      </c>
      <c r="L43">
        <f ca="1">IF(AND(ISNUMBER($L$95),$B$74=1),$L$95,HLOOKUP(INDIRECT(ADDRESS(2,COLUMN())),OFFSET($AH$2,0,0,ROW()-1,28),ROW()-1,FALSE))</f>
        <v>599071</v>
      </c>
      <c r="M43">
        <f ca="1">IF(AND(ISNUMBER($M$95),$B$74=1),$M$95,HLOOKUP(INDIRECT(ADDRESS(2,COLUMN())),OFFSET($AH$2,0,0,ROW()-1,28),ROW()-1,FALSE))</f>
        <v>585191</v>
      </c>
      <c r="N43">
        <f ca="1">IF(AND(ISNUMBER($N$95),$B$74=1),$N$95,HLOOKUP(INDIRECT(ADDRESS(2,COLUMN())),OFFSET($AH$2,0,0,ROW()-1,28),ROW()-1,FALSE))</f>
        <v>715520</v>
      </c>
      <c r="O43">
        <f ca="1">IF(AND(ISNUMBER($O$95),$B$74=1),$O$95,HLOOKUP(INDIRECT(ADDRESS(2,COLUMN())),OFFSET($AH$2,0,0,ROW()-1,28),ROW()-1,FALSE))</f>
        <v>680939</v>
      </c>
      <c r="P43">
        <f ca="1">IF(AND(ISNUMBER($P$95),$B$74=1),$P$95,HLOOKUP(INDIRECT(ADDRESS(2,COLUMN())),OFFSET($AH$2,0,0,ROW()-1,28),ROW()-1,FALSE))</f>
        <v>660607</v>
      </c>
      <c r="Q43">
        <f ca="1">IF(AND(ISNUMBER($Q$95),$B$74=1),$Q$95,HLOOKUP(INDIRECT(ADDRESS(2,COLUMN())),OFFSET($AH$2,0,0,ROW()-1,28),ROW()-1,FALSE))</f>
        <v>606971</v>
      </c>
      <c r="R43">
        <f ca="1">IF(AND(ISNUMBER($R$95),$B$74=1),$R$95,HLOOKUP(INDIRECT(ADDRESS(2,COLUMN())),OFFSET($AH$2,0,0,ROW()-1,28),ROW()-1,FALSE))</f>
        <v>650677</v>
      </c>
      <c r="S43">
        <f ca="1">IF(AND(ISNUMBER($S$95),$B$74=1),$S$95,HLOOKUP(INDIRECT(ADDRESS(2,COLUMN())),OFFSET($AH$2,0,0,ROW()-1,28),ROW()-1,FALSE))</f>
        <v>591267</v>
      </c>
      <c r="T43">
        <f ca="1">IF(AND(ISNUMBER($T$95),$B$74=1),$T$95,HLOOKUP(INDIRECT(ADDRESS(2,COLUMN())),OFFSET($AH$2,0,0,ROW()-1,28),ROW()-1,FALSE))</f>
        <v>508835</v>
      </c>
      <c r="U43">
        <f ca="1">IF(AND(ISNUMBER($U$95),$B$74=1),$U$95,HLOOKUP(INDIRECT(ADDRESS(2,COLUMN())),OFFSET($AH$2,0,0,ROW()-1,28),ROW()-1,FALSE))</f>
        <v>534015</v>
      </c>
      <c r="V43">
        <f ca="1">IF(AND(ISNUMBER($V$95),$B$74=1),$V$95,HLOOKUP(INDIRECT(ADDRESS(2,COLUMN())),OFFSET($AH$2,0,0,ROW()-1,28),ROW()-1,FALSE))</f>
        <v>520891</v>
      </c>
      <c r="W43">
        <f ca="1">IF(AND(ISNUMBER($W$95),$B$74=1),$W$95,HLOOKUP(INDIRECT(ADDRESS(2,COLUMN())),OFFSET($AH$2,0,0,ROW()-1,28),ROW()-1,FALSE))</f>
        <v>439903</v>
      </c>
      <c r="X43">
        <f ca="1">IF(AND(ISNUMBER($X$95),$B$74=1),$X$95,HLOOKUP(INDIRECT(ADDRESS(2,COLUMN())),OFFSET($AH$2,0,0,ROW()-1,28),ROW()-1,FALSE))</f>
        <v>345767</v>
      </c>
      <c r="Y43">
        <f ca="1">IF(AND(ISNUMBER($Y$95),$B$74=1),$Y$95,HLOOKUP(INDIRECT(ADDRESS(2,COLUMN())),OFFSET($AH$2,0,0,ROW()-1,28),ROW()-1,FALSE))</f>
        <v>319017</v>
      </c>
      <c r="Z43">
        <f ca="1">IF(AND(ISNUMBER($Z$95),$B$74=1),$Z$95,HLOOKUP(INDIRECT(ADDRESS(2,COLUMN())),OFFSET($AH$2,0,0,ROW()-1,28),ROW()-1,FALSE))</f>
        <v>294634</v>
      </c>
      <c r="AA43">
        <f ca="1">IF(AND(ISNUMBER($AA$95),$B$74=1),$AA$95,HLOOKUP(INDIRECT(ADDRESS(2,COLUMN())),OFFSET($AH$2,0,0,ROW()-1,28),ROW()-1,FALSE))</f>
        <v>281937</v>
      </c>
      <c r="AB43">
        <f ca="1">IF(AND(ISNUMBER($AB$95),$B$74=1),$AB$95,HLOOKUP(INDIRECT(ADDRESS(2,COLUMN())),OFFSET($AH$2,0,0,ROW()-1,28),ROW()-1,FALSE))</f>
        <v>234741</v>
      </c>
      <c r="AC43">
        <f ca="1">IF(AND(ISNUMBER($AC$95),$B$74=1),$AC$95,HLOOKUP(INDIRECT(ADDRESS(2,COLUMN())),OFFSET($AH$2,0,0,ROW()-1,28),ROW()-1,FALSE))</f>
        <v>234128</v>
      </c>
      <c r="AD43">
        <f ca="1">IF(AND(ISNUMBER($AD$95),$B$74=1),$AD$95,HLOOKUP(INDIRECT(ADDRESS(2,COLUMN())),OFFSET($AH$2,0,0,ROW()-1,28),ROW()-1,FALSE))</f>
        <v>190022</v>
      </c>
      <c r="AE43">
        <f ca="1">IF(AND(ISNUMBER($AE$95),$B$74=1),$AE$95,HLOOKUP(INDIRECT(ADDRESS(2,COLUMN())),OFFSET($AH$2,0,0,ROW()-1,28),ROW()-1,FALSE))</f>
        <v>155984</v>
      </c>
      <c r="AF43">
        <f ca="1">IF(AND(ISNUMBER($AF$95),$B$74=1),$AF$95,HLOOKUP(INDIRECT(ADDRESS(2,COLUMN())),OFFSET($AH$2,0,0,ROW()-1,28),ROW()-1,FALSE))</f>
        <v>142564</v>
      </c>
      <c r="AG43">
        <f ca="1">IF(AND(ISNUMBER($AG$95),$B$74=1),$AG$95,HLOOKUP(INDIRECT(ADDRESS(2,COLUMN())),OFFSET($AH$2,0,0,ROW()-1,28),ROW()-1,FALSE))</f>
        <v>117899</v>
      </c>
      <c r="AH43">
        <f>970725</f>
        <v>970725</v>
      </c>
      <c r="AI43">
        <f>890019</f>
        <v>890019</v>
      </c>
      <c r="AJ43">
        <f>762550</f>
        <v>762550</v>
      </c>
      <c r="AK43">
        <f>753077</f>
        <v>753077</v>
      </c>
      <c r="AL43">
        <f>702504</f>
        <v>702504</v>
      </c>
      <c r="AM43">
        <f>658159</f>
        <v>658159</v>
      </c>
      <c r="AN43">
        <f>599071</f>
        <v>599071</v>
      </c>
      <c r="AO43">
        <f>585191</f>
        <v>585191</v>
      </c>
      <c r="AP43">
        <f>715520</f>
        <v>715520</v>
      </c>
      <c r="AQ43">
        <f>680939</f>
        <v>680939</v>
      </c>
      <c r="AR43">
        <f>660607</f>
        <v>660607</v>
      </c>
      <c r="AS43">
        <f>606971</f>
        <v>606971</v>
      </c>
      <c r="AT43">
        <f>650677</f>
        <v>650677</v>
      </c>
      <c r="AU43">
        <f>591267</f>
        <v>591267</v>
      </c>
      <c r="AV43">
        <f>508835</f>
        <v>508835</v>
      </c>
      <c r="AW43">
        <f>534015</f>
        <v>534015</v>
      </c>
      <c r="AX43">
        <f>520891</f>
        <v>520891</v>
      </c>
      <c r="AY43">
        <f>439903</f>
        <v>439903</v>
      </c>
      <c r="AZ43">
        <f>345767</f>
        <v>345767</v>
      </c>
      <c r="BA43">
        <f>319017</f>
        <v>319017</v>
      </c>
      <c r="BB43">
        <f>294634</f>
        <v>294634</v>
      </c>
      <c r="BC43">
        <f>281937</f>
        <v>281937</v>
      </c>
      <c r="BD43">
        <f>234741</f>
        <v>234741</v>
      </c>
      <c r="BE43">
        <f>234128</f>
        <v>234128</v>
      </c>
      <c r="BF43">
        <f>190022</f>
        <v>190022</v>
      </c>
      <c r="BG43">
        <f>155984</f>
        <v>155984</v>
      </c>
      <c r="BH43">
        <f>142564</f>
        <v>142564</v>
      </c>
      <c r="BI43">
        <f>117899</f>
        <v>117899</v>
      </c>
    </row>
    <row r="44" spans="1:61" x14ac:dyDescent="0.25">
      <c r="A44" t="str">
        <f>"            Passive Non-Domestic Equity ETFs"</f>
        <v xml:space="preserve">            Passive Non-Domestic Equity ETFs</v>
      </c>
      <c r="B44" t="str">
        <f>""</f>
        <v/>
      </c>
      <c r="E44" t="str">
        <f>"Expression"</f>
        <v>Expression</v>
      </c>
      <c r="F44">
        <f ca="1">IF(AND($B$74=1,LEN($F$42) * LEN($F$43)&gt;0),$F$42-$F$43,HLOOKUP(INDIRECT(ADDRESS(2,COLUMN())),OFFSET($AH$2,0,0,ROW()-1,28),ROW()-1,FALSE))</f>
        <v>1832785</v>
      </c>
      <c r="G44">
        <f ca="1">IF(AND($B$74=1,LEN($G$42) * LEN($G$43)&gt;0),$G$42-$G$43,HLOOKUP(INDIRECT(ADDRESS(2,COLUMN())),OFFSET($AH$2,0,0,ROW()-1,28),ROW()-1,FALSE))</f>
        <v>1594101</v>
      </c>
      <c r="H44">
        <f ca="1">IF(AND($B$74=1,LEN($H$42) * LEN($H$43)&gt;0),$H$42-$H$43,HLOOKUP(INDIRECT(ADDRESS(2,COLUMN())),OFFSET($AH$2,0,0,ROW()-1,28),ROW()-1,FALSE))</f>
        <v>1322900</v>
      </c>
      <c r="I44">
        <f ca="1">IF(AND($B$74=1,LEN($I$42) * LEN($I$43)&gt;0),$I$42-$I$43,HLOOKUP(INDIRECT(ADDRESS(2,COLUMN())),OFFSET($AH$2,0,0,ROW()-1,28),ROW()-1,FALSE))</f>
        <v>1328313</v>
      </c>
      <c r="J44">
        <f ca="1">IF(AND($B$74=1,LEN($J$42) * LEN($J$43)&gt;0),$J$42-$J$43,HLOOKUP(INDIRECT(ADDRESS(2,COLUMN())),OFFSET($AH$2,0,0,ROW()-1,28),ROW()-1,FALSE))</f>
        <v>1218386</v>
      </c>
      <c r="K44">
        <f ca="1">IF(AND($B$74=1,LEN($K$42) * LEN($K$43)&gt;0),$K$42-$K$43,HLOOKUP(INDIRECT(ADDRESS(2,COLUMN())),OFFSET($AH$2,0,0,ROW()-1,28),ROW()-1,FALSE))</f>
        <v>1162851</v>
      </c>
      <c r="L44">
        <f ca="1">IF(AND($B$74=1,LEN($L$42) * LEN($L$43)&gt;0),$L$42-$L$43,HLOOKUP(INDIRECT(ADDRESS(2,COLUMN())),OFFSET($AH$2,0,0,ROW()-1,28),ROW()-1,FALSE))</f>
        <v>1060299</v>
      </c>
      <c r="M44">
        <f ca="1">IF(AND($B$74=1,LEN($M$42) * LEN($M$43)&gt;0),$M$42-$M$43,HLOOKUP(INDIRECT(ADDRESS(2,COLUMN())),OFFSET($AH$2,0,0,ROW()-1,28),ROW()-1,FALSE))</f>
        <v>1018519</v>
      </c>
      <c r="N44">
        <f ca="1">IF(AND($B$74=1,LEN($N$42) * LEN($N$43)&gt;0),$N$42-$N$43,HLOOKUP(INDIRECT(ADDRESS(2,COLUMN())),OFFSET($AH$2,0,0,ROW()-1,28),ROW()-1,FALSE))</f>
        <v>1211360</v>
      </c>
      <c r="O44">
        <f ca="1">IF(AND($B$74=1,LEN($O$42) * LEN($O$43)&gt;0),$O$42-$O$43,HLOOKUP(INDIRECT(ADDRESS(2,COLUMN())),OFFSET($AH$2,0,0,ROW()-1,28),ROW()-1,FALSE))</f>
        <v>1188661</v>
      </c>
      <c r="P44">
        <f ca="1">IF(AND($B$74=1,LEN($P$42) * LEN($P$43)&gt;0),$P$42-$P$43,HLOOKUP(INDIRECT(ADDRESS(2,COLUMN())),OFFSET($AH$2,0,0,ROW()-1,28),ROW()-1,FALSE))</f>
        <v>1005643</v>
      </c>
      <c r="Q44">
        <f ca="1">IF(AND($B$74=1,LEN($Q$42) * LEN($Q$43)&gt;0),$Q$42-$Q$43,HLOOKUP(INDIRECT(ADDRESS(2,COLUMN())),OFFSET($AH$2,0,0,ROW()-1,28),ROW()-1,FALSE))</f>
        <v>767969</v>
      </c>
      <c r="R44">
        <f ca="1">IF(AND($B$74=1,LEN($R$42) * LEN($R$43)&gt;0),$R$42-$R$43,HLOOKUP(INDIRECT(ADDRESS(2,COLUMN())),OFFSET($AH$2,0,0,ROW()-1,28),ROW()-1,FALSE))</f>
        <v>874063</v>
      </c>
      <c r="S44">
        <f ca="1">IF(AND($B$74=1,LEN($S$42) * LEN($S$43)&gt;0),$S$42-$S$43,HLOOKUP(INDIRECT(ADDRESS(2,COLUMN())),OFFSET($AH$2,0,0,ROW()-1,28),ROW()-1,FALSE))</f>
        <v>805393</v>
      </c>
      <c r="T44">
        <f ca="1">IF(AND($B$74=1,LEN($T$42) * LEN($T$43)&gt;0),$T$42-$T$43,HLOOKUP(INDIRECT(ADDRESS(2,COLUMN())),OFFSET($AH$2,0,0,ROW()-1,28),ROW()-1,FALSE))</f>
        <v>724615</v>
      </c>
      <c r="U44">
        <f ca="1">IF(AND($B$74=1,LEN($U$42) * LEN($U$43)&gt;0),$U$42-$U$43,HLOOKUP(INDIRECT(ADDRESS(2,COLUMN())),OFFSET($AH$2,0,0,ROW()-1,28),ROW()-1,FALSE))</f>
        <v>772285</v>
      </c>
      <c r="V44">
        <f ca="1">IF(AND($B$74=1,LEN($V$42) * LEN($V$43)&gt;0),$V$42-$V$43,HLOOKUP(INDIRECT(ADDRESS(2,COLUMN())),OFFSET($AH$2,0,0,ROW()-1,28),ROW()-1,FALSE))</f>
        <v>792479</v>
      </c>
      <c r="W44">
        <f ca="1">IF(AND($B$74=1,LEN($W$42) * LEN($W$43)&gt;0),$W$42-$W$43,HLOOKUP(INDIRECT(ADDRESS(2,COLUMN())),OFFSET($AH$2,0,0,ROW()-1,28),ROW()-1,FALSE))</f>
        <v>653207</v>
      </c>
      <c r="X44">
        <f ca="1">IF(AND($B$74=1,LEN($X$42) * LEN($X$43)&gt;0),$X$42-$X$43,HLOOKUP(INDIRECT(ADDRESS(2,COLUMN())),OFFSET($AH$2,0,0,ROW()-1,28),ROW()-1,FALSE))</f>
        <v>499037</v>
      </c>
      <c r="Y44">
        <f ca="1">IF(AND($B$74=1,LEN($Y$42) * LEN($Y$43)&gt;0),$Y$42-$Y$43,HLOOKUP(INDIRECT(ADDRESS(2,COLUMN())),OFFSET($AH$2,0,0,ROW()-1,28),ROW()-1,FALSE))</f>
        <v>458626</v>
      </c>
      <c r="Z44">
        <f ca="1">IF(AND($B$74=1,LEN($Z$42) * LEN($Z$43)&gt;0),$Z$42-$Z$43,HLOOKUP(INDIRECT(ADDRESS(2,COLUMN())),OFFSET($AH$2,0,0,ROW()-1,28),ROW()-1,FALSE))</f>
        <v>459256</v>
      </c>
      <c r="AA44">
        <f ca="1">IF(AND($B$74=1,LEN($AA$42) * LEN($AA$43)&gt;0),$AA$42-$AA$43,HLOOKUP(INDIRECT(ADDRESS(2,COLUMN())),OFFSET($AH$2,0,0,ROW()-1,28),ROW()-1,FALSE))</f>
        <v>509372</v>
      </c>
      <c r="AB44">
        <f ca="1">IF(AND($B$74=1,LEN($AB$42) * LEN($AB$43)&gt;0),$AB$42-$AB$43,HLOOKUP(INDIRECT(ADDRESS(2,COLUMN())),OFFSET($AH$2,0,0,ROW()-1,28),ROW()-1,FALSE))</f>
        <v>405919</v>
      </c>
      <c r="AC44">
        <f ca="1">IF(AND($B$74=1,LEN($AC$42) * LEN($AC$43)&gt;0),$AC$42-$AC$43,HLOOKUP(INDIRECT(ADDRESS(2,COLUMN())),OFFSET($AH$2,0,0,ROW()-1,28),ROW()-1,FALSE))</f>
        <v>435165</v>
      </c>
      <c r="AD44">
        <f ca="1">IF(AND($B$74=1,LEN($AD$42) * LEN($AD$43)&gt;0),$AD$42-$AD$43,HLOOKUP(INDIRECT(ADDRESS(2,COLUMN())),OFFSET($AH$2,0,0,ROW()-1,28),ROW()-1,FALSE))</f>
        <v>389339</v>
      </c>
      <c r="AE44">
        <f ca="1">IF(AND($B$74=1,LEN($AE$42) * LEN($AE$43)&gt;0),$AE$42-$AE$43,HLOOKUP(INDIRECT(ADDRESS(2,COLUMN())),OFFSET($AH$2,0,0,ROW()-1,28),ROW()-1,FALSE))</f>
        <v>318566</v>
      </c>
      <c r="AF44">
        <f ca="1">IF(AND($B$74=1,LEN($AF$42) * LEN($AF$43)&gt;0),$AF$42-$AF$43,HLOOKUP(INDIRECT(ADDRESS(2,COLUMN())),OFFSET($AH$2,0,0,ROW()-1,28),ROW()-1,FALSE))</f>
        <v>328697</v>
      </c>
      <c r="AG44">
        <f ca="1">IF(AND($B$74=1,LEN($AG$42) * LEN($AG$43)&gt;0),$AG$42-$AG$43,HLOOKUP(INDIRECT(ADDRESS(2,COLUMN())),OFFSET($AH$2,0,0,ROW()-1,28),ROW()-1,FALSE))</f>
        <v>254254</v>
      </c>
      <c r="AH44">
        <f>1832785</f>
        <v>1832785</v>
      </c>
      <c r="AI44">
        <f>1594101</f>
        <v>1594101</v>
      </c>
      <c r="AJ44">
        <f>1322900</f>
        <v>1322900</v>
      </c>
      <c r="AK44">
        <f>1328313</f>
        <v>1328313</v>
      </c>
      <c r="AL44">
        <f>1218386</f>
        <v>1218386</v>
      </c>
      <c r="AM44">
        <f>1162851</f>
        <v>1162851</v>
      </c>
      <c r="AN44">
        <f>1060299</f>
        <v>1060299</v>
      </c>
      <c r="AO44">
        <f>1018519</f>
        <v>1018519</v>
      </c>
      <c r="AP44">
        <f>1211360</f>
        <v>1211360</v>
      </c>
      <c r="AQ44">
        <f>1188661</f>
        <v>1188661</v>
      </c>
      <c r="AR44">
        <f>1005643</f>
        <v>1005643</v>
      </c>
      <c r="AS44">
        <f>767969</f>
        <v>767969</v>
      </c>
      <c r="AT44">
        <f>874063</f>
        <v>874063</v>
      </c>
      <c r="AU44">
        <f>805393</f>
        <v>805393</v>
      </c>
      <c r="AV44">
        <f>724615</f>
        <v>724615</v>
      </c>
      <c r="AW44">
        <f>772285</f>
        <v>772285</v>
      </c>
      <c r="AX44">
        <f>792479</f>
        <v>792479</v>
      </c>
      <c r="AY44">
        <f>653207</f>
        <v>653207</v>
      </c>
      <c r="AZ44">
        <f>499037</f>
        <v>499037</v>
      </c>
      <c r="BA44">
        <f>458626</f>
        <v>458626</v>
      </c>
      <c r="BB44">
        <f>459256</f>
        <v>459256</v>
      </c>
      <c r="BC44">
        <f>509372</f>
        <v>509372</v>
      </c>
      <c r="BD44">
        <f>405919</f>
        <v>405919</v>
      </c>
      <c r="BE44">
        <f>435165</f>
        <v>435165</v>
      </c>
      <c r="BF44">
        <f>389339</f>
        <v>389339</v>
      </c>
      <c r="BG44">
        <f>318566</f>
        <v>318566</v>
      </c>
      <c r="BH44">
        <f>328697</f>
        <v>328697</v>
      </c>
      <c r="BI44">
        <f>254254</f>
        <v>254254</v>
      </c>
    </row>
    <row r="45" spans="1:61" x14ac:dyDescent="0.25">
      <c r="A45" t="str">
        <f>"        Active Non-Domestic Equity"</f>
        <v xml:space="preserve">        Active Non-Domestic Equity</v>
      </c>
      <c r="B45" t="str">
        <f>".BIATANE G Index"</f>
        <v>.BIATANE G Index</v>
      </c>
      <c r="C45" t="str">
        <f>"PR005"</f>
        <v>PR005</v>
      </c>
      <c r="D45" t="str">
        <f>"PX_LAST"</f>
        <v>PX_LAST</v>
      </c>
      <c r="E45" t="str">
        <f>"Dynamic"</f>
        <v>Dynamic</v>
      </c>
      <c r="F45">
        <f ca="1">IF(AND(ISNUMBER($F$96),$B$74=1),$F$96,HLOOKUP(INDIRECT(ADDRESS(2,COLUMN())),OFFSET($AH$2,0,0,ROW()-1,28),ROW()-1,FALSE))</f>
        <v>2747610</v>
      </c>
      <c r="G45">
        <f ca="1">IF(AND(ISNUMBER($G$96),$B$74=1),$G$96,HLOOKUP(INDIRECT(ADDRESS(2,COLUMN())),OFFSET($AH$2,0,0,ROW()-1,28),ROW()-1,FALSE))</f>
        <v>2566870</v>
      </c>
      <c r="H45">
        <f ca="1">IF(AND(ISNUMBER($H$96),$B$74=1),$H$96,HLOOKUP(INDIRECT(ADDRESS(2,COLUMN())),OFFSET($AH$2,0,0,ROW()-1,28),ROW()-1,FALSE))</f>
        <v>2272830</v>
      </c>
      <c r="I45">
        <f ca="1">IF(AND(ISNUMBER($I$96),$B$74=1),$I$96,HLOOKUP(INDIRECT(ADDRESS(2,COLUMN())),OFFSET($AH$2,0,0,ROW()-1,28),ROW()-1,FALSE))</f>
        <v>2327060</v>
      </c>
      <c r="J45">
        <f ca="1">IF(AND(ISNUMBER($J$96),$B$74=1),$J$96,HLOOKUP(INDIRECT(ADDRESS(2,COLUMN())),OFFSET($AH$2,0,0,ROW()-1,28),ROW()-1,FALSE))</f>
        <v>2167730</v>
      </c>
      <c r="K45">
        <f ca="1">IF(AND(ISNUMBER($K$96),$B$74=1),$K$96,HLOOKUP(INDIRECT(ADDRESS(2,COLUMN())),OFFSET($AH$2,0,0,ROW()-1,28),ROW()-1,FALSE))</f>
        <v>2120080</v>
      </c>
      <c r="L45">
        <f ca="1">IF(AND(ISNUMBER($L$96),$B$74=1),$L$96,HLOOKUP(INDIRECT(ADDRESS(2,COLUMN())),OFFSET($AH$2,0,0,ROW()-1,28),ROW()-1,FALSE))</f>
        <v>1942690</v>
      </c>
      <c r="M45">
        <f ca="1">IF(AND(ISNUMBER($M$96),$B$74=1),$M$96,HLOOKUP(INDIRECT(ADDRESS(2,COLUMN())),OFFSET($AH$2,0,0,ROW()-1,28),ROW()-1,FALSE))</f>
        <v>1979750</v>
      </c>
      <c r="N45">
        <f ca="1">IF(AND(ISNUMBER($N$96),$B$74=1),$N$96,HLOOKUP(INDIRECT(ADDRESS(2,COLUMN())),OFFSET($AH$2,0,0,ROW()-1,28),ROW()-1,FALSE))</f>
        <v>2566020</v>
      </c>
      <c r="O45">
        <f ca="1">IF(AND(ISNUMBER($O$96),$B$74=1),$O$96,HLOOKUP(INDIRECT(ADDRESS(2,COLUMN())),OFFSET($AH$2,0,0,ROW()-1,28),ROW()-1,FALSE))</f>
        <v>2592470</v>
      </c>
      <c r="P45">
        <f ca="1">IF(AND(ISNUMBER($P$96),$B$74=1),$P$96,HLOOKUP(INDIRECT(ADDRESS(2,COLUMN())),OFFSET($AH$2,0,0,ROW()-1,28),ROW()-1,FALSE))</f>
        <v>2380530</v>
      </c>
      <c r="Q45">
        <f ca="1">IF(AND(ISNUMBER($Q$96),$B$74=1),$Q$96,HLOOKUP(INDIRECT(ADDRESS(2,COLUMN())),OFFSET($AH$2,0,0,ROW()-1,28),ROW()-1,FALSE))</f>
        <v>1951380</v>
      </c>
      <c r="R45">
        <f ca="1">IF(AND(ISNUMBER($R$96),$B$74=1),$R$96,HLOOKUP(INDIRECT(ADDRESS(2,COLUMN())),OFFSET($AH$2,0,0,ROW()-1,28),ROW()-1,FALSE))</f>
        <v>2111490</v>
      </c>
      <c r="S45">
        <f ca="1">IF(AND(ISNUMBER($S$96),$B$74=1),$S$96,HLOOKUP(INDIRECT(ADDRESS(2,COLUMN())),OFFSET($AH$2,0,0,ROW()-1,28),ROW()-1,FALSE))</f>
        <v>1906740</v>
      </c>
      <c r="T45">
        <f ca="1">IF(AND(ISNUMBER($T$96),$B$74=1),$T$96,HLOOKUP(INDIRECT(ADDRESS(2,COLUMN())),OFFSET($AH$2,0,0,ROW()-1,28),ROW()-1,FALSE))</f>
        <v>1716320</v>
      </c>
      <c r="U45">
        <f ca="1">IF(AND(ISNUMBER($U$96),$B$74=1),$U$96,HLOOKUP(INDIRECT(ADDRESS(2,COLUMN())),OFFSET($AH$2,0,0,ROW()-1,28),ROW()-1,FALSE))</f>
        <v>2065610</v>
      </c>
      <c r="V45">
        <f ca="1">IF(AND(ISNUMBER($V$96),$B$74=1),$V$96,HLOOKUP(INDIRECT(ADDRESS(2,COLUMN())),OFFSET($AH$2,0,0,ROW()-1,28),ROW()-1,FALSE))</f>
        <v>2110100</v>
      </c>
      <c r="W45">
        <f ca="1">IF(AND(ISNUMBER($W$96),$B$74=1),$W$96,HLOOKUP(INDIRECT(ADDRESS(2,COLUMN())),OFFSET($AH$2,0,0,ROW()-1,28),ROW()-1,FALSE))</f>
        <v>1883600</v>
      </c>
      <c r="X45">
        <f ca="1">IF(AND(ISNUMBER($X$96),$B$74=1),$X$96,HLOOKUP(INDIRECT(ADDRESS(2,COLUMN())),OFFSET($AH$2,0,0,ROW()-1,28),ROW()-1,FALSE))</f>
        <v>1649290</v>
      </c>
      <c r="Y45">
        <f ca="1">IF(AND(ISNUMBER($Y$96),$B$74=1),$Y$96,HLOOKUP(INDIRECT(ADDRESS(2,COLUMN())),OFFSET($AH$2,0,0,ROW()-1,28),ROW()-1,FALSE))</f>
        <v>1632190</v>
      </c>
      <c r="Z45">
        <f ca="1">IF(AND(ISNUMBER($Z$96),$B$74=1),$Z$96,HLOOKUP(INDIRECT(ADDRESS(2,COLUMN())),OFFSET($AH$2,0,0,ROW()-1,28),ROW()-1,FALSE))</f>
        <v>1612870</v>
      </c>
      <c r="AA45">
        <f ca="1">IF(AND(ISNUMBER($AA$96),$B$74=1),$AA$96,HLOOKUP(INDIRECT(ADDRESS(2,COLUMN())),OFFSET($AH$2,0,0,ROW()-1,28),ROW()-1,FALSE))</f>
        <v>1780050</v>
      </c>
      <c r="AB45">
        <f ca="1">IF(AND(ISNUMBER($AB$96),$B$74=1),$AB$96,HLOOKUP(INDIRECT(ADDRESS(2,COLUMN())),OFFSET($AH$2,0,0,ROW()-1,28),ROW()-1,FALSE))</f>
        <v>1661490</v>
      </c>
      <c r="AC45">
        <f ca="1">IF(AND(ISNUMBER($AC$96),$B$74=1),$AC$96,HLOOKUP(INDIRECT(ADDRESS(2,COLUMN())),OFFSET($AH$2,0,0,ROW()-1,28),ROW()-1,FALSE))</f>
        <v>1768490</v>
      </c>
      <c r="AD45">
        <f ca="1">IF(AND(ISNUMBER($AD$96),$B$74=1),$AD$96,HLOOKUP(INDIRECT(ADDRESS(2,COLUMN())),OFFSET($AH$2,0,0,ROW()-1,28),ROW()-1,FALSE))</f>
        <v>1578590</v>
      </c>
      <c r="AE45">
        <f ca="1">IF(AND(ISNUMBER($AE$96),$B$74=1),$AE$96,HLOOKUP(INDIRECT(ADDRESS(2,COLUMN())),OFFSET($AH$2,0,0,ROW()-1,28),ROW()-1,FALSE))</f>
        <v>1330860</v>
      </c>
      <c r="AF45">
        <f ca="1">IF(AND(ISNUMBER($AF$96),$B$74=1),$AF$96,HLOOKUP(INDIRECT(ADDRESS(2,COLUMN())),OFFSET($AH$2,0,0,ROW()-1,28),ROW()-1,FALSE))</f>
        <v>1208120</v>
      </c>
      <c r="AG45">
        <f ca="1">IF(AND(ISNUMBER($AG$96),$B$74=1),$AG$96,HLOOKUP(INDIRECT(ADDRESS(2,COLUMN())),OFFSET($AH$2,0,0,ROW()-1,28),ROW()-1,FALSE))</f>
        <v>1052740</v>
      </c>
      <c r="AH45">
        <f>2747610</f>
        <v>2747610</v>
      </c>
      <c r="AI45">
        <f>2566870</f>
        <v>2566870</v>
      </c>
      <c r="AJ45">
        <f>2272830</f>
        <v>2272830</v>
      </c>
      <c r="AK45">
        <f>2327060</f>
        <v>2327060</v>
      </c>
      <c r="AL45">
        <f>2167730</f>
        <v>2167730</v>
      </c>
      <c r="AM45">
        <f>2120080</f>
        <v>2120080</v>
      </c>
      <c r="AN45">
        <f>1942690</f>
        <v>1942690</v>
      </c>
      <c r="AO45">
        <f>1979750</f>
        <v>1979750</v>
      </c>
      <c r="AP45">
        <f>2566020</f>
        <v>2566020</v>
      </c>
      <c r="AQ45">
        <f>2592470</f>
        <v>2592470</v>
      </c>
      <c r="AR45">
        <f>2380530</f>
        <v>2380530</v>
      </c>
      <c r="AS45">
        <f>1951380</f>
        <v>1951380</v>
      </c>
      <c r="AT45">
        <f>2111490</f>
        <v>2111490</v>
      </c>
      <c r="AU45">
        <f>1906740</f>
        <v>1906740</v>
      </c>
      <c r="AV45">
        <f>1716320</f>
        <v>1716320</v>
      </c>
      <c r="AW45">
        <f>2065610</f>
        <v>2065610</v>
      </c>
      <c r="AX45">
        <f>2110100</f>
        <v>2110100</v>
      </c>
      <c r="AY45">
        <f>1883600</f>
        <v>1883600</v>
      </c>
      <c r="AZ45">
        <f>1649290</f>
        <v>1649290</v>
      </c>
      <c r="BA45">
        <f>1632190</f>
        <v>1632190</v>
      </c>
      <c r="BB45">
        <f>1612870</f>
        <v>1612870</v>
      </c>
      <c r="BC45">
        <f>1780050</f>
        <v>1780050</v>
      </c>
      <c r="BD45">
        <f>1661490</f>
        <v>1661490</v>
      </c>
      <c r="BE45">
        <f>1768490</f>
        <v>1768490</v>
      </c>
      <c r="BF45">
        <f>1578590</f>
        <v>1578590</v>
      </c>
      <c r="BG45">
        <f>1330860</f>
        <v>1330860</v>
      </c>
      <c r="BH45">
        <f>1208120</f>
        <v>1208120</v>
      </c>
      <c r="BI45">
        <f>1052740</f>
        <v>1052740</v>
      </c>
    </row>
    <row r="46" spans="1:61" x14ac:dyDescent="0.25">
      <c r="A46" t="str">
        <f>"            Active Non-Domestic Equity Mutual Funds"</f>
        <v xml:space="preserve">            Active Non-Domestic Equity Mutual Funds</v>
      </c>
      <c r="B46" t="str">
        <f>".BIAMANE G Index"</f>
        <v>.BIAMANE G Index</v>
      </c>
      <c r="C46" t="str">
        <f>"PR005"</f>
        <v>PR005</v>
      </c>
      <c r="D46" t="str">
        <f>"PX_LAST"</f>
        <v>PX_LAST</v>
      </c>
      <c r="E46" t="str">
        <f>"Dynamic"</f>
        <v>Dynamic</v>
      </c>
      <c r="F46">
        <f ca="1">IF(AND(ISNUMBER($F$97),$B$74=1),$F$97,HLOOKUP(INDIRECT(ADDRESS(2,COLUMN())),OFFSET($AH$2,0,0,ROW()-1,28),ROW()-1,FALSE))</f>
        <v>2512530</v>
      </c>
      <c r="G46">
        <f ca="1">IF(AND(ISNUMBER($G$97),$B$74=1),$G$97,HLOOKUP(INDIRECT(ADDRESS(2,COLUMN())),OFFSET($AH$2,0,0,ROW()-1,28),ROW()-1,FALSE))</f>
        <v>2378210</v>
      </c>
      <c r="H46">
        <f ca="1">IF(AND(ISNUMBER($H$97),$B$74=1),$H$97,HLOOKUP(INDIRECT(ADDRESS(2,COLUMN())),OFFSET($AH$2,0,0,ROW()-1,28),ROW()-1,FALSE))</f>
        <v>2130090</v>
      </c>
      <c r="I46">
        <f ca="1">IF(AND(ISNUMBER($I$97),$B$74=1),$I$97,HLOOKUP(INDIRECT(ADDRESS(2,COLUMN())),OFFSET($AH$2,0,0,ROW()-1,28),ROW()-1,FALSE))</f>
        <v>2207350</v>
      </c>
      <c r="J46">
        <f ca="1">IF(AND(ISNUMBER($J$97),$B$74=1),$J$97,HLOOKUP(INDIRECT(ADDRESS(2,COLUMN())),OFFSET($AH$2,0,0,ROW()-1,28),ROW()-1,FALSE))</f>
        <v>2073740</v>
      </c>
      <c r="K46">
        <f ca="1">IF(AND(ISNUMBER($K$97),$B$74=1),$K$97,HLOOKUP(INDIRECT(ADDRESS(2,COLUMN())),OFFSET($AH$2,0,0,ROW()-1,28),ROW()-1,FALSE))</f>
        <v>2030110</v>
      </c>
      <c r="L46">
        <f ca="1">IF(AND(ISNUMBER($L$97),$B$74=1),$L$97,HLOOKUP(INDIRECT(ADDRESS(2,COLUMN())),OFFSET($AH$2,0,0,ROW()-1,28),ROW()-1,FALSE))</f>
        <v>1870030</v>
      </c>
      <c r="M46">
        <f ca="1">IF(AND(ISNUMBER($M$97),$B$74=1),$M$97,HLOOKUP(INDIRECT(ADDRESS(2,COLUMN())),OFFSET($AH$2,0,0,ROW()-1,28),ROW()-1,FALSE))</f>
        <v>1921050</v>
      </c>
      <c r="N46">
        <f ca="1">IF(AND(ISNUMBER($N$97),$B$74=1),$N$97,HLOOKUP(INDIRECT(ADDRESS(2,COLUMN())),OFFSET($AH$2,0,0,ROW()-1,28),ROW()-1,FALSE))</f>
        <v>2511110</v>
      </c>
      <c r="O46">
        <f ca="1">IF(AND(ISNUMBER($O$97),$B$74=1),$O$97,HLOOKUP(INDIRECT(ADDRESS(2,COLUMN())),OFFSET($AH$2,0,0,ROW()-1,28),ROW()-1,FALSE))</f>
        <v>2541580</v>
      </c>
      <c r="P46">
        <f ca="1">IF(AND(ISNUMBER($P$97),$B$74=1),$P$97,HLOOKUP(INDIRECT(ADDRESS(2,COLUMN())),OFFSET($AH$2,0,0,ROW()-1,28),ROW()-1,FALSE))</f>
        <v>2345860</v>
      </c>
      <c r="Q46">
        <f ca="1">IF(AND(ISNUMBER($Q$97),$B$74=1),$Q$97,HLOOKUP(INDIRECT(ADDRESS(2,COLUMN())),OFFSET($AH$2,0,0,ROW()-1,28),ROW()-1,FALSE))</f>
        <v>1926130</v>
      </c>
      <c r="R46">
        <f ca="1">IF(AND(ISNUMBER($R$97),$B$74=1),$R$97,HLOOKUP(INDIRECT(ADDRESS(2,COLUMN())),OFFSET($AH$2,0,0,ROW()-1,28),ROW()-1,FALSE))</f>
        <v>2080960</v>
      </c>
      <c r="S46">
        <f ca="1">IF(AND(ISNUMBER($S$97),$B$74=1),$S$97,HLOOKUP(INDIRECT(ADDRESS(2,COLUMN())),OFFSET($AH$2,0,0,ROW()-1,28),ROW()-1,FALSE))</f>
        <v>1878750</v>
      </c>
      <c r="T46">
        <f ca="1">IF(AND(ISNUMBER($T$97),$B$74=1),$T$97,HLOOKUP(INDIRECT(ADDRESS(2,COLUMN())),OFFSET($AH$2,0,0,ROW()-1,28),ROW()-1,FALSE))</f>
        <v>1691840</v>
      </c>
      <c r="U46">
        <f ca="1">IF(AND(ISNUMBER($U$97),$B$74=1),$U$97,HLOOKUP(INDIRECT(ADDRESS(2,COLUMN())),OFFSET($AH$2,0,0,ROW()-1,28),ROW()-1,FALSE))</f>
        <v>2036830</v>
      </c>
      <c r="V46">
        <f ca="1">IF(AND(ISNUMBER($V$97),$B$74=1),$V$97,HLOOKUP(INDIRECT(ADDRESS(2,COLUMN())),OFFSET($AH$2,0,0,ROW()-1,28),ROW()-1,FALSE))</f>
        <v>2084070</v>
      </c>
      <c r="W46">
        <f ca="1">IF(AND(ISNUMBER($W$97),$B$74=1),$W$97,HLOOKUP(INDIRECT(ADDRESS(2,COLUMN())),OFFSET($AH$2,0,0,ROW()-1,28),ROW()-1,FALSE))</f>
        <v>1862810</v>
      </c>
      <c r="X46">
        <f ca="1">IF(AND(ISNUMBER($X$97),$B$74=1),$X$97,HLOOKUP(INDIRECT(ADDRESS(2,COLUMN())),OFFSET($AH$2,0,0,ROW()-1,28),ROW()-1,FALSE))</f>
        <v>1631830</v>
      </c>
      <c r="Y46">
        <f ca="1">IF(AND(ISNUMBER($Y$97),$B$74=1),$Y$97,HLOOKUP(INDIRECT(ADDRESS(2,COLUMN())),OFFSET($AH$2,0,0,ROW()-1,28),ROW()-1,FALSE))</f>
        <v>1617830</v>
      </c>
      <c r="Z46">
        <f ca="1">IF(AND(ISNUMBER($Z$97),$B$74=1),$Z$97,HLOOKUP(INDIRECT(ADDRESS(2,COLUMN())),OFFSET($AH$2,0,0,ROW()-1,28),ROW()-1,FALSE))</f>
        <v>1599910</v>
      </c>
      <c r="AA46">
        <f ca="1">IF(AND(ISNUMBER($AA$97),$B$74=1),$AA$97,HLOOKUP(INDIRECT(ADDRESS(2,COLUMN())),OFFSET($AH$2,0,0,ROW()-1,28),ROW()-1,FALSE))</f>
        <v>1766740</v>
      </c>
      <c r="AB46">
        <f ca="1">IF(AND(ISNUMBER($AB$97),$B$74=1),$AB$97,HLOOKUP(INDIRECT(ADDRESS(2,COLUMN())),OFFSET($AH$2,0,0,ROW()-1,28),ROW()-1,FALSE))</f>
        <v>1650780</v>
      </c>
      <c r="AC46">
        <f ca="1">IF(AND(ISNUMBER($AC$97),$B$74=1),$AC$97,HLOOKUP(INDIRECT(ADDRESS(2,COLUMN())),OFFSET($AH$2,0,0,ROW()-1,28),ROW()-1,FALSE))</f>
        <v>1758700</v>
      </c>
      <c r="AD46">
        <f ca="1">IF(AND(ISNUMBER($AD$97),$B$74=1),$AD$97,HLOOKUP(INDIRECT(ADDRESS(2,COLUMN())),OFFSET($AH$2,0,0,ROW()-1,28),ROW()-1,FALSE))</f>
        <v>1571010</v>
      </c>
      <c r="AE46">
        <f ca="1">IF(AND(ISNUMBER($AE$97),$B$74=1),$AE$97,HLOOKUP(INDIRECT(ADDRESS(2,COLUMN())),OFFSET($AH$2,0,0,ROW()-1,28),ROW()-1,FALSE))</f>
        <v>1325010</v>
      </c>
      <c r="AF46">
        <f ca="1">IF(AND(ISNUMBER($AF$97),$B$74=1),$AF$97,HLOOKUP(INDIRECT(ADDRESS(2,COLUMN())),OFFSET($AH$2,0,0,ROW()-1,28),ROW()-1,FALSE))</f>
        <v>1203210</v>
      </c>
      <c r="AG46">
        <f ca="1">IF(AND(ISNUMBER($AG$97),$B$74=1),$AG$97,HLOOKUP(INDIRECT(ADDRESS(2,COLUMN())),OFFSET($AH$2,0,0,ROW()-1,28),ROW()-1,FALSE))</f>
        <v>1048650</v>
      </c>
      <c r="AH46">
        <f>2512530</f>
        <v>2512530</v>
      </c>
      <c r="AI46">
        <f>2378210</f>
        <v>2378210</v>
      </c>
      <c r="AJ46">
        <f>2130090</f>
        <v>2130090</v>
      </c>
      <c r="AK46">
        <f>2207350</f>
        <v>2207350</v>
      </c>
      <c r="AL46">
        <f>2073740</f>
        <v>2073740</v>
      </c>
      <c r="AM46">
        <f>2030110</f>
        <v>2030110</v>
      </c>
      <c r="AN46">
        <f>1870030</f>
        <v>1870030</v>
      </c>
      <c r="AO46">
        <f>1921050</f>
        <v>1921050</v>
      </c>
      <c r="AP46">
        <f>2511110</f>
        <v>2511110</v>
      </c>
      <c r="AQ46">
        <f>2541580</f>
        <v>2541580</v>
      </c>
      <c r="AR46">
        <f>2345860</f>
        <v>2345860</v>
      </c>
      <c r="AS46">
        <f>1926130</f>
        <v>1926130</v>
      </c>
      <c r="AT46">
        <f>2080960</f>
        <v>2080960</v>
      </c>
      <c r="AU46">
        <f>1878750</f>
        <v>1878750</v>
      </c>
      <c r="AV46">
        <f>1691840</f>
        <v>1691840</v>
      </c>
      <c r="AW46">
        <f>2036830</f>
        <v>2036830</v>
      </c>
      <c r="AX46">
        <f>2084070</f>
        <v>2084070</v>
      </c>
      <c r="AY46">
        <f>1862810</f>
        <v>1862810</v>
      </c>
      <c r="AZ46">
        <f>1631830</f>
        <v>1631830</v>
      </c>
      <c r="BA46">
        <f>1617830</f>
        <v>1617830</v>
      </c>
      <c r="BB46">
        <f>1599910</f>
        <v>1599910</v>
      </c>
      <c r="BC46">
        <f>1766740</f>
        <v>1766740</v>
      </c>
      <c r="BD46">
        <f>1650780</f>
        <v>1650780</v>
      </c>
      <c r="BE46">
        <f>1758700</f>
        <v>1758700</v>
      </c>
      <c r="BF46">
        <f>1571010</f>
        <v>1571010</v>
      </c>
      <c r="BG46">
        <f>1325010</f>
        <v>1325010</v>
      </c>
      <c r="BH46">
        <f>1203210</f>
        <v>1203210</v>
      </c>
      <c r="BI46">
        <f>1048650</f>
        <v>1048650</v>
      </c>
    </row>
    <row r="47" spans="1:61" x14ac:dyDescent="0.25">
      <c r="A47" t="str">
        <f>"            Active Non-Domestic Equity ETFs"</f>
        <v xml:space="preserve">            Active Non-Domestic Equity ETFs</v>
      </c>
      <c r="B47" t="str">
        <f>""</f>
        <v/>
      </c>
      <c r="E47" t="str">
        <f>"Expression"</f>
        <v>Expression</v>
      </c>
      <c r="F47">
        <f ca="1">IF(AND($B$74=1,LEN($F$45) * LEN($F$46)&gt;0),$F$45-$F$46,HLOOKUP(INDIRECT(ADDRESS(2,COLUMN())),OFFSET($AH$2,0,0,ROW()-1,28),ROW()-1,FALSE))</f>
        <v>235080</v>
      </c>
      <c r="G47">
        <f ca="1">IF(AND($B$74=1,LEN($G$45) * LEN($G$46)&gt;0),$G$45-$G$46,HLOOKUP(INDIRECT(ADDRESS(2,COLUMN())),OFFSET($AH$2,0,0,ROW()-1,28),ROW()-1,FALSE))</f>
        <v>188660</v>
      </c>
      <c r="H47">
        <f ca="1">IF(AND($B$74=1,LEN($H$45) * LEN($H$46)&gt;0),$H$45-$H$46,HLOOKUP(INDIRECT(ADDRESS(2,COLUMN())),OFFSET($AH$2,0,0,ROW()-1,28),ROW()-1,FALSE))</f>
        <v>142740</v>
      </c>
      <c r="I47">
        <f ca="1">IF(AND($B$74=1,LEN($I$45) * LEN($I$46)&gt;0),$I$45-$I$46,HLOOKUP(INDIRECT(ADDRESS(2,COLUMN())),OFFSET($AH$2,0,0,ROW()-1,28),ROW()-1,FALSE))</f>
        <v>119710</v>
      </c>
      <c r="J47">
        <f ca="1">IF(AND($B$74=1,LEN($J$45) * LEN($J$46)&gt;0),$J$45-$J$46,HLOOKUP(INDIRECT(ADDRESS(2,COLUMN())),OFFSET($AH$2,0,0,ROW()-1,28),ROW()-1,FALSE))</f>
        <v>93990</v>
      </c>
      <c r="K47">
        <f ca="1">IF(AND($B$74=1,LEN($K$45) * LEN($K$46)&gt;0),$K$45-$K$46,HLOOKUP(INDIRECT(ADDRESS(2,COLUMN())),OFFSET($AH$2,0,0,ROW()-1,28),ROW()-1,FALSE))</f>
        <v>89970</v>
      </c>
      <c r="L47">
        <f ca="1">IF(AND($B$74=1,LEN($L$45) * LEN($L$46)&gt;0),$L$45-$L$46,HLOOKUP(INDIRECT(ADDRESS(2,COLUMN())),OFFSET($AH$2,0,0,ROW()-1,28),ROW()-1,FALSE))</f>
        <v>72660</v>
      </c>
      <c r="M47">
        <f ca="1">IF(AND($B$74=1,LEN($M$45) * LEN($M$46)&gt;0),$M$45-$M$46,HLOOKUP(INDIRECT(ADDRESS(2,COLUMN())),OFFSET($AH$2,0,0,ROW()-1,28),ROW()-1,FALSE))</f>
        <v>58700</v>
      </c>
      <c r="N47">
        <f ca="1">IF(AND($B$74=1,LEN($N$45) * LEN($N$46)&gt;0),$N$45-$N$46,HLOOKUP(INDIRECT(ADDRESS(2,COLUMN())),OFFSET($AH$2,0,0,ROW()-1,28),ROW()-1,FALSE))</f>
        <v>54910</v>
      </c>
      <c r="O47">
        <f ca="1">IF(AND($B$74=1,LEN($O$45) * LEN($O$46)&gt;0),$O$45-$O$46,HLOOKUP(INDIRECT(ADDRESS(2,COLUMN())),OFFSET($AH$2,0,0,ROW()-1,28),ROW()-1,FALSE))</f>
        <v>50890</v>
      </c>
      <c r="P47">
        <f ca="1">IF(AND($B$74=1,LEN($P$45) * LEN($P$46)&gt;0),$P$45-$P$46,HLOOKUP(INDIRECT(ADDRESS(2,COLUMN())),OFFSET($AH$2,0,0,ROW()-1,28),ROW()-1,FALSE))</f>
        <v>34670</v>
      </c>
      <c r="Q47">
        <f ca="1">IF(AND($B$74=1,LEN($Q$45) * LEN($Q$46)&gt;0),$Q$45-$Q$46,HLOOKUP(INDIRECT(ADDRESS(2,COLUMN())),OFFSET($AH$2,0,0,ROW()-1,28),ROW()-1,FALSE))</f>
        <v>25250</v>
      </c>
      <c r="R47">
        <f ca="1">IF(AND($B$74=1,LEN($R$45) * LEN($R$46)&gt;0),$R$45-$R$46,HLOOKUP(INDIRECT(ADDRESS(2,COLUMN())),OFFSET($AH$2,0,0,ROW()-1,28),ROW()-1,FALSE))</f>
        <v>30530</v>
      </c>
      <c r="S47">
        <f ca="1">IF(AND($B$74=1,LEN($S$45) * LEN($S$46)&gt;0),$S$45-$S$46,HLOOKUP(INDIRECT(ADDRESS(2,COLUMN())),OFFSET($AH$2,0,0,ROW()-1,28),ROW()-1,FALSE))</f>
        <v>27990</v>
      </c>
      <c r="T47">
        <f ca="1">IF(AND($B$74=1,LEN($T$45) * LEN($T$46)&gt;0),$T$45-$T$46,HLOOKUP(INDIRECT(ADDRESS(2,COLUMN())),OFFSET($AH$2,0,0,ROW()-1,28),ROW()-1,FALSE))</f>
        <v>24480</v>
      </c>
      <c r="U47">
        <f ca="1">IF(AND($B$74=1,LEN($U$45) * LEN($U$46)&gt;0),$U$45-$U$46,HLOOKUP(INDIRECT(ADDRESS(2,COLUMN())),OFFSET($AH$2,0,0,ROW()-1,28),ROW()-1,FALSE))</f>
        <v>28780</v>
      </c>
      <c r="V47">
        <f ca="1">IF(AND($B$74=1,LEN($V$45) * LEN($V$46)&gt;0),$V$45-$V$46,HLOOKUP(INDIRECT(ADDRESS(2,COLUMN())),OFFSET($AH$2,0,0,ROW()-1,28),ROW()-1,FALSE))</f>
        <v>26030</v>
      </c>
      <c r="W47">
        <f ca="1">IF(AND($B$74=1,LEN($W$45) * LEN($W$46)&gt;0),$W$45-$W$46,HLOOKUP(INDIRECT(ADDRESS(2,COLUMN())),OFFSET($AH$2,0,0,ROW()-1,28),ROW()-1,FALSE))</f>
        <v>20790</v>
      </c>
      <c r="X47">
        <f ca="1">IF(AND($B$74=1,LEN($X$45) * LEN($X$46)&gt;0),$X$45-$X$46,HLOOKUP(INDIRECT(ADDRESS(2,COLUMN())),OFFSET($AH$2,0,0,ROW()-1,28),ROW()-1,FALSE))</f>
        <v>17460</v>
      </c>
      <c r="Y47">
        <f ca="1">IF(AND($B$74=1,LEN($Y$45) * LEN($Y$46)&gt;0),$Y$45-$Y$46,HLOOKUP(INDIRECT(ADDRESS(2,COLUMN())),OFFSET($AH$2,0,0,ROW()-1,28),ROW()-1,FALSE))</f>
        <v>14360</v>
      </c>
      <c r="Z47">
        <f ca="1">IF(AND($B$74=1,LEN($Z$45) * LEN($Z$46)&gt;0),$Z$45-$Z$46,HLOOKUP(INDIRECT(ADDRESS(2,COLUMN())),OFFSET($AH$2,0,0,ROW()-1,28),ROW()-1,FALSE))</f>
        <v>12960</v>
      </c>
      <c r="AA47">
        <f ca="1">IF(AND($B$74=1,LEN($AA$45) * LEN($AA$46)&gt;0),$AA$45-$AA$46,HLOOKUP(INDIRECT(ADDRESS(2,COLUMN())),OFFSET($AH$2,0,0,ROW()-1,28),ROW()-1,FALSE))</f>
        <v>13310</v>
      </c>
      <c r="AB47">
        <f ca="1">IF(AND($B$74=1,LEN($AB$45) * LEN($AB$46)&gt;0),$AB$45-$AB$46,HLOOKUP(INDIRECT(ADDRESS(2,COLUMN())),OFFSET($AH$2,0,0,ROW()-1,28),ROW()-1,FALSE))</f>
        <v>10710</v>
      </c>
      <c r="AC47">
        <f ca="1">IF(AND($B$74=1,LEN($AC$45) * LEN($AC$46)&gt;0),$AC$45-$AC$46,HLOOKUP(INDIRECT(ADDRESS(2,COLUMN())),OFFSET($AH$2,0,0,ROW()-1,28),ROW()-1,FALSE))</f>
        <v>9790</v>
      </c>
      <c r="AD47">
        <f ca="1">IF(AND($B$74=1,LEN($AD$45) * LEN($AD$46)&gt;0),$AD$45-$AD$46,HLOOKUP(INDIRECT(ADDRESS(2,COLUMN())),OFFSET($AH$2,0,0,ROW()-1,28),ROW()-1,FALSE))</f>
        <v>7580</v>
      </c>
      <c r="AE47">
        <f ca="1">IF(AND($B$74=1,LEN($AE$45) * LEN($AE$46)&gt;0),$AE$45-$AE$46,HLOOKUP(INDIRECT(ADDRESS(2,COLUMN())),OFFSET($AH$2,0,0,ROW()-1,28),ROW()-1,FALSE))</f>
        <v>5850</v>
      </c>
      <c r="AF47">
        <f ca="1">IF(AND($B$74=1,LEN($AF$45) * LEN($AF$46)&gt;0),$AF$45-$AF$46,HLOOKUP(INDIRECT(ADDRESS(2,COLUMN())),OFFSET($AH$2,0,0,ROW()-1,28),ROW()-1,FALSE))</f>
        <v>4910</v>
      </c>
      <c r="AG47">
        <f ca="1">IF(AND($B$74=1,LEN($AG$45) * LEN($AG$46)&gt;0),$AG$45-$AG$46,HLOOKUP(INDIRECT(ADDRESS(2,COLUMN())),OFFSET($AH$2,0,0,ROW()-1,28),ROW()-1,FALSE))</f>
        <v>4090</v>
      </c>
      <c r="AH47">
        <f>235080</f>
        <v>235080</v>
      </c>
      <c r="AI47">
        <f>188660</f>
        <v>188660</v>
      </c>
      <c r="AJ47">
        <f>142740</f>
        <v>142740</v>
      </c>
      <c r="AK47">
        <f>119710</f>
        <v>119710</v>
      </c>
      <c r="AL47">
        <f>93990</f>
        <v>93990</v>
      </c>
      <c r="AM47">
        <f>89970</f>
        <v>89970</v>
      </c>
      <c r="AN47">
        <f>72660</f>
        <v>72660</v>
      </c>
      <c r="AO47">
        <f>58700</f>
        <v>58700</v>
      </c>
      <c r="AP47">
        <f>54910</f>
        <v>54910</v>
      </c>
      <c r="AQ47">
        <f>50890</f>
        <v>50890</v>
      </c>
      <c r="AR47">
        <f>34670</f>
        <v>34670</v>
      </c>
      <c r="AS47">
        <f>25250</f>
        <v>25250</v>
      </c>
      <c r="AT47">
        <f>30530</f>
        <v>30530</v>
      </c>
      <c r="AU47">
        <f>27990</f>
        <v>27990</v>
      </c>
      <c r="AV47">
        <f>24480</f>
        <v>24480</v>
      </c>
      <c r="AW47">
        <f>28780</f>
        <v>28780</v>
      </c>
      <c r="AX47">
        <f>26030</f>
        <v>26030</v>
      </c>
      <c r="AY47">
        <f>20790</f>
        <v>20790</v>
      </c>
      <c r="AZ47">
        <f>17460</f>
        <v>17460</v>
      </c>
      <c r="BA47">
        <f>14360</f>
        <v>14360</v>
      </c>
      <c r="BB47">
        <f>12960</f>
        <v>12960</v>
      </c>
      <c r="BC47">
        <f>13310</f>
        <v>13310</v>
      </c>
      <c r="BD47">
        <f>10710</f>
        <v>10710</v>
      </c>
      <c r="BE47">
        <f>9790</f>
        <v>9790</v>
      </c>
      <c r="BF47">
        <f>7580</f>
        <v>7580</v>
      </c>
      <c r="BG47">
        <f>5850</f>
        <v>5850</v>
      </c>
      <c r="BH47">
        <f>4910</f>
        <v>4910</v>
      </c>
      <c r="BI47">
        <f>4090</f>
        <v>4090</v>
      </c>
    </row>
    <row r="48" spans="1:61" x14ac:dyDescent="0.25">
      <c r="A48" t="str">
        <f>"    Money Market Fund Assets"</f>
        <v xml:space="preserve">    Money Market Fund Assets</v>
      </c>
      <c r="B48" t="str">
        <f>".BIATMMF G Index"</f>
        <v>.BIATMMF G Index</v>
      </c>
      <c r="C48" t="str">
        <f>"PR005"</f>
        <v>PR005</v>
      </c>
      <c r="D48" t="str">
        <f>"PX_LAST"</f>
        <v>PX_LAST</v>
      </c>
      <c r="E48" t="str">
        <f>"Dynamic"</f>
        <v>Dynamic</v>
      </c>
      <c r="F48">
        <f ca="1">IF(AND(ISNUMBER($F$98),$B$74=1),$F$98,HLOOKUP(INDIRECT(ADDRESS(2,COLUMN())),OFFSET($AH$2,0,0,ROW()-1,28),ROW()-1,FALSE))</f>
        <v>7804590</v>
      </c>
      <c r="G48">
        <f ca="1">IF(AND(ISNUMBER($G$98),$B$74=1),$G$98,HLOOKUP(INDIRECT(ADDRESS(2,COLUMN())),OFFSET($AH$2,0,0,ROW()-1,28),ROW()-1,FALSE))</f>
        <v>7053280</v>
      </c>
      <c r="H48">
        <f ca="1">IF(AND(ISNUMBER($H$98),$B$74=1),$H$98,HLOOKUP(INDIRECT(ADDRESS(2,COLUMN())),OFFSET($AH$2,0,0,ROW()-1,28),ROW()-1,FALSE))</f>
        <v>6896160</v>
      </c>
      <c r="I48">
        <f ca="1">IF(AND(ISNUMBER($I$98),$B$74=1),$I$98,HLOOKUP(INDIRECT(ADDRESS(2,COLUMN())),OFFSET($AH$2,0,0,ROW()-1,28),ROW()-1,FALSE))</f>
        <v>6134540</v>
      </c>
      <c r="J48">
        <f ca="1">IF(AND(ISNUMBER($J$98),$B$74=1),$J$98,HLOOKUP(INDIRECT(ADDRESS(2,COLUMN())),OFFSET($AH$2,0,0,ROW()-1,28),ROW()-1,FALSE))</f>
        <v>5935110</v>
      </c>
      <c r="K48">
        <f ca="1">IF(AND(ISNUMBER($K$98),$B$74=1),$K$98,HLOOKUP(INDIRECT(ADDRESS(2,COLUMN())),OFFSET($AH$2,0,0,ROW()-1,28),ROW()-1,FALSE))</f>
        <v>5489180</v>
      </c>
      <c r="L48">
        <f ca="1">IF(AND(ISNUMBER($L$98),$B$74=1),$L$98,HLOOKUP(INDIRECT(ADDRESS(2,COLUMN())),OFFSET($AH$2,0,0,ROW()-1,28),ROW()-1,FALSE))</f>
        <v>4836920</v>
      </c>
      <c r="M48">
        <f ca="1">IF(AND(ISNUMBER($M$98),$B$74=1),$M$98,HLOOKUP(INDIRECT(ADDRESS(2,COLUMN())),OFFSET($AH$2,0,0,ROW()-1,28),ROW()-1,FALSE))</f>
        <v>4525330</v>
      </c>
      <c r="N48">
        <f ca="1">IF(AND(ISNUMBER($N$98),$B$74=1),$N$98,HLOOKUP(INDIRECT(ADDRESS(2,COLUMN())),OFFSET($AH$2,0,0,ROW()-1,28),ROW()-1,FALSE))</f>
        <v>4746740</v>
      </c>
      <c r="O48">
        <f ca="1">IF(AND(ISNUMBER($O$98),$B$74=1),$O$98,HLOOKUP(INDIRECT(ADDRESS(2,COLUMN())),OFFSET($AH$2,0,0,ROW()-1,28),ROW()-1,FALSE))</f>
        <v>4520180</v>
      </c>
      <c r="P48">
        <f ca="1">IF(AND(ISNUMBER($P$98),$B$74=1),$P$98,HLOOKUP(INDIRECT(ADDRESS(2,COLUMN())),OFFSET($AH$2,0,0,ROW()-1,28),ROW()-1,FALSE))</f>
        <v>4333570</v>
      </c>
      <c r="Q48">
        <f ca="1">IF(AND(ISNUMBER($Q$98),$B$74=1),$Q$98,HLOOKUP(INDIRECT(ADDRESS(2,COLUMN())),OFFSET($AH$2,0,0,ROW()-1,28),ROW()-1,FALSE))</f>
        <v>4700780</v>
      </c>
      <c r="R48">
        <f ca="1">IF(AND(ISNUMBER($R$98),$B$74=1),$R$98,HLOOKUP(INDIRECT(ADDRESS(2,COLUMN())),OFFSET($AH$2,0,0,ROW()-1,28),ROW()-1,FALSE))</f>
        <v>3653580</v>
      </c>
      <c r="S48">
        <f ca="1">IF(AND(ISNUMBER($S$98),$B$74=1),$S$98,HLOOKUP(INDIRECT(ADDRESS(2,COLUMN())),OFFSET($AH$2,0,0,ROW()-1,28),ROW()-1,FALSE))</f>
        <v>3301810</v>
      </c>
      <c r="T48">
        <f ca="1">IF(AND(ISNUMBER($T$98),$B$74=1),$T$98,HLOOKUP(INDIRECT(ADDRESS(2,COLUMN())),OFFSET($AH$2,0,0,ROW()-1,28),ROW()-1,FALSE))</f>
        <v>3101110</v>
      </c>
      <c r="U48">
        <f ca="1">IF(AND(ISNUMBER($U$98),$B$74=1),$U$98,HLOOKUP(INDIRECT(ADDRESS(2,COLUMN())),OFFSET($AH$2,0,0,ROW()-1,28),ROW()-1,FALSE))</f>
        <v>2805100</v>
      </c>
      <c r="V48">
        <f ca="1">IF(AND(ISNUMBER($V$98),$B$74=1),$V$98,HLOOKUP(INDIRECT(ADDRESS(2,COLUMN())),OFFSET($AH$2,0,0,ROW()-1,28),ROW()-1,FALSE))</f>
        <v>2711750</v>
      </c>
      <c r="W48">
        <f ca="1">IF(AND(ISNUMBER($W$98),$B$74=1),$W$98,HLOOKUP(INDIRECT(ADDRESS(2,COLUMN())),OFFSET($AH$2,0,0,ROW()-1,28),ROW()-1,FALSE))</f>
        <v>2535130</v>
      </c>
      <c r="X48">
        <f ca="1">IF(AND(ISNUMBER($X$98),$B$74=1),$X$98,HLOOKUP(INDIRECT(ADDRESS(2,COLUMN())),OFFSET($AH$2,0,0,ROW()-1,28),ROW()-1,FALSE))</f>
        <v>2576040</v>
      </c>
      <c r="Y48">
        <f ca="1">IF(AND(ISNUMBER($Y$98),$B$74=1),$Y$98,HLOOKUP(INDIRECT(ADDRESS(2,COLUMN())),OFFSET($AH$2,0,0,ROW()-1,28),ROW()-1,FALSE))</f>
        <v>2573040</v>
      </c>
      <c r="Z48">
        <f ca="1">IF(AND(ISNUMBER($Z$98),$B$74=1),$Z$98,HLOOKUP(INDIRECT(ADDRESS(2,COLUMN())),OFFSET($AH$2,0,0,ROW()-1,28),ROW()-1,FALSE))</f>
        <v>2528710</v>
      </c>
      <c r="AA48">
        <f ca="1">IF(AND(ISNUMBER($AA$98),$B$74=1),$AA$98,HLOOKUP(INDIRECT(ADDRESS(2,COLUMN())),OFFSET($AH$2,0,0,ROW()-1,28),ROW()-1,FALSE))</f>
        <v>2403080</v>
      </c>
      <c r="AB48">
        <f ca="1">IF(AND(ISNUMBER($AB$98),$B$74=1),$AB$98,HLOOKUP(INDIRECT(ADDRESS(2,COLUMN())),OFFSET($AH$2,0,0,ROW()-1,28),ROW()-1,FALSE))</f>
        <v>2496190</v>
      </c>
      <c r="AC48">
        <f ca="1">IF(AND(ISNUMBER($AC$98),$B$74=1),$AC$98,HLOOKUP(INDIRECT(ADDRESS(2,COLUMN())),OFFSET($AH$2,0,0,ROW()-1,28),ROW()-1,FALSE))</f>
        <v>2345900</v>
      </c>
      <c r="AD48">
        <f ca="1">IF(AND(ISNUMBER($AD$98),$B$74=1),$AD$98,HLOOKUP(INDIRECT(ADDRESS(2,COLUMN())),OFFSET($AH$2,0,0,ROW()-1,28),ROW()-1,FALSE))</f>
        <v>2468760</v>
      </c>
      <c r="AE48">
        <f ca="1">IF(AND(ISNUMBER($AE$98),$B$74=1),$AE$98,HLOOKUP(INDIRECT(ADDRESS(2,COLUMN())),OFFSET($AH$2,0,0,ROW()-1,28),ROW()-1,FALSE))</f>
        <v>2374490</v>
      </c>
      <c r="AF48">
        <f ca="1">IF(AND(ISNUMBER($AF$98),$B$74=1),$AF$98,HLOOKUP(INDIRECT(ADDRESS(2,COLUMN())),OFFSET($AH$2,0,0,ROW()-1,28),ROW()-1,FALSE))</f>
        <v>2455210</v>
      </c>
      <c r="AG48">
        <f ca="1">IF(AND(ISNUMBER($AG$98),$B$74=1),$AG$98,HLOOKUP(INDIRECT(ADDRESS(2,COLUMN())),OFFSET($AH$2,0,0,ROW()-1,28),ROW()-1,FALSE))</f>
        <v>2259310</v>
      </c>
      <c r="AH48">
        <f>7804590</f>
        <v>7804590</v>
      </c>
      <c r="AI48">
        <f>7053280</f>
        <v>7053280</v>
      </c>
      <c r="AJ48">
        <f>6896160</f>
        <v>6896160</v>
      </c>
      <c r="AK48">
        <f>6134540</f>
        <v>6134540</v>
      </c>
      <c r="AL48">
        <f>5935110</f>
        <v>5935110</v>
      </c>
      <c r="AM48">
        <f>5489180</f>
        <v>5489180</v>
      </c>
      <c r="AN48">
        <f>4836920</f>
        <v>4836920</v>
      </c>
      <c r="AO48">
        <f>4525330</f>
        <v>4525330</v>
      </c>
      <c r="AP48">
        <f>4746740</f>
        <v>4746740</v>
      </c>
      <c r="AQ48">
        <f>4520180</f>
        <v>4520180</v>
      </c>
      <c r="AR48">
        <f>4333570</f>
        <v>4333570</v>
      </c>
      <c r="AS48">
        <f>4700780</f>
        <v>4700780</v>
      </c>
      <c r="AT48">
        <f>3653580</f>
        <v>3653580</v>
      </c>
      <c r="AU48">
        <f>3301810</f>
        <v>3301810</v>
      </c>
      <c r="AV48">
        <f>3101110</f>
        <v>3101110</v>
      </c>
      <c r="AW48">
        <f>2805100</f>
        <v>2805100</v>
      </c>
      <c r="AX48">
        <f>2711750</f>
        <v>2711750</v>
      </c>
      <c r="AY48">
        <f>2535130</f>
        <v>2535130</v>
      </c>
      <c r="AZ48">
        <f>2576040</f>
        <v>2576040</v>
      </c>
      <c r="BA48">
        <f>2573040</f>
        <v>2573040</v>
      </c>
      <c r="BB48">
        <f>2528710</f>
        <v>2528710</v>
      </c>
      <c r="BC48">
        <f>2403080</f>
        <v>2403080</v>
      </c>
      <c r="BD48">
        <f>2496190</f>
        <v>2496190</v>
      </c>
      <c r="BE48">
        <f>2345900</f>
        <v>2345900</v>
      </c>
      <c r="BF48">
        <f>2468760</f>
        <v>2468760</v>
      </c>
      <c r="BG48">
        <f>2374490</f>
        <v>2374490</v>
      </c>
      <c r="BH48">
        <f>2455210</f>
        <v>2455210</v>
      </c>
      <c r="BI48">
        <f>2259310</f>
        <v>2259310</v>
      </c>
    </row>
    <row r="49" spans="1:61" x14ac:dyDescent="0.25">
      <c r="A49" t="str">
        <f>"    Ratio of Money Mkt Fund Assets to Traditional Fund Assets"</f>
        <v xml:space="preserve">    Ratio of Money Mkt Fund Assets to Traditional Fund Assets</v>
      </c>
      <c r="B49" t="str">
        <f>""</f>
        <v/>
      </c>
      <c r="E49" t="str">
        <f>"Expression"</f>
        <v>Expression</v>
      </c>
      <c r="F49">
        <f ca="1">IF(AND($B$74=1,LEN($F$48) * LEN($F$13)&gt;0),($F$48/$F$13)*100,HLOOKUP(INDIRECT(ADDRESS(2,COLUMN())),OFFSET($AH$2,0,0,ROW()-1,28),ROW()-1,FALSE))</f>
        <v>22.244995679999999</v>
      </c>
      <c r="G49">
        <f ca="1">IF(AND($B$74=1,LEN($G$48) * LEN($G$13)&gt;0),($G$48/$G$13)*100,HLOOKUP(INDIRECT(ADDRESS(2,COLUMN())),OFFSET($AH$2,0,0,ROW()-1,28),ROW()-1,FALSE))</f>
        <v>21.610836549999998</v>
      </c>
      <c r="H49">
        <f ca="1">IF(AND($B$74=1,LEN($H$48) * LEN($H$13)&gt;0),($H$48/$H$13)*100,HLOOKUP(INDIRECT(ADDRESS(2,COLUMN())),OFFSET($AH$2,0,0,ROW()-1,28),ROW()-1,FALSE))</f>
        <v>22.550767480000001</v>
      </c>
      <c r="I49">
        <f ca="1">IF(AND($B$74=1,LEN($I$48) * LEN($I$13)&gt;0),($I$48/$I$13)*100,HLOOKUP(INDIRECT(ADDRESS(2,COLUMN())),OFFSET($AH$2,0,0,ROW()-1,28),ROW()-1,FALSE))</f>
        <v>21.273746190000001</v>
      </c>
      <c r="J49">
        <f ca="1">IF(AND($B$74=1,LEN($J$48) * LEN($J$13)&gt;0),($J$48/$J$13)*100,HLOOKUP(INDIRECT(ADDRESS(2,COLUMN())),OFFSET($AH$2,0,0,ROW()-1,28),ROW()-1,FALSE))</f>
        <v>22.605120429999999</v>
      </c>
      <c r="K49">
        <f ca="1">IF(AND($B$74=1,LEN($K$48) * LEN($K$13)&gt;0),($K$48/$K$13)*100,HLOOKUP(INDIRECT(ADDRESS(2,COLUMN())),OFFSET($AH$2,0,0,ROW()-1,28),ROW()-1,FALSE))</f>
        <v>22.24564646</v>
      </c>
      <c r="L49">
        <f ca="1">IF(AND($B$74=1,LEN($L$48) * LEN($L$13)&gt;0),($L$48/$L$13)*100,HLOOKUP(INDIRECT(ADDRESS(2,COLUMN())),OFFSET($AH$2,0,0,ROW()-1,28),ROW()-1,FALSE))</f>
        <v>21.36175137</v>
      </c>
      <c r="M49">
        <f ca="1">IF(AND($B$74=1,LEN($M$48) * LEN($M$13)&gt;0),($M$48/$M$13)*100,HLOOKUP(INDIRECT(ADDRESS(2,COLUMN())),OFFSET($AH$2,0,0,ROW()-1,28),ROW()-1,FALSE))</f>
        <v>19.918264050000001</v>
      </c>
      <c r="N49">
        <f ca="1">IF(AND($B$74=1,LEN($N$48) * LEN($N$13)&gt;0),($N$48/$N$13)*100,HLOOKUP(INDIRECT(ADDRESS(2,COLUMN())),OFFSET($AH$2,0,0,ROW()-1,28),ROW()-1,FALSE))</f>
        <v>17.202945719999999</v>
      </c>
      <c r="O49">
        <f ca="1">IF(AND($B$74=1,LEN($O$48) * LEN($O$13)&gt;0),($O$48/$O$13)*100,HLOOKUP(INDIRECT(ADDRESS(2,COLUMN())),OFFSET($AH$2,0,0,ROW()-1,28),ROW()-1,FALSE))</f>
        <v>17.215404889999999</v>
      </c>
      <c r="P49">
        <f ca="1">IF(AND($B$74=1,LEN($P$48) * LEN($P$13)&gt;0),($P$48/$P$13)*100,HLOOKUP(INDIRECT(ADDRESS(2,COLUMN())),OFFSET($AH$2,0,0,ROW()-1,28),ROW()-1,FALSE))</f>
        <v>18.512647009999998</v>
      </c>
      <c r="Q49">
        <f ca="1">IF(AND($B$74=1,LEN($Q$48) * LEN($Q$13)&gt;0),($Q$48/$Q$13)*100,HLOOKUP(INDIRECT(ADDRESS(2,COLUMN())),OFFSET($AH$2,0,0,ROW()-1,28),ROW()-1,FALSE))</f>
        <v>23.70763153</v>
      </c>
      <c r="R49">
        <f ca="1">IF(AND($B$74=1,LEN($R$48) * LEN($R$13)&gt;0),($R$48/$R$13)*100,HLOOKUP(INDIRECT(ADDRESS(2,COLUMN())),OFFSET($AH$2,0,0,ROW()-1,28),ROW()-1,FALSE))</f>
        <v>17.962422069999999</v>
      </c>
      <c r="S49">
        <f ca="1">IF(AND($B$74=1,LEN($S$48) * LEN($S$13)&gt;0),($S$48/$S$13)*100,HLOOKUP(INDIRECT(ADDRESS(2,COLUMN())),OFFSET($AH$2,0,0,ROW()-1,28),ROW()-1,FALSE))</f>
        <v>17.760566050000001</v>
      </c>
      <c r="T49">
        <f ca="1">IF(AND($B$74=1,LEN($T$48) * LEN($T$13)&gt;0),($T$48/$T$13)*100,HLOOKUP(INDIRECT(ADDRESS(2,COLUMN())),OFFSET($AH$2,0,0,ROW()-1,28),ROW()-1,FALSE))</f>
        <v>18.98829821</v>
      </c>
      <c r="U49">
        <f ca="1">IF(AND($B$74=1,LEN($U$48) * LEN($U$13)&gt;0),($U$48/$U$13)*100,HLOOKUP(INDIRECT(ADDRESS(2,COLUMN())),OFFSET($AH$2,0,0,ROW()-1,28),ROW()-1,FALSE))</f>
        <v>15.752086159999999</v>
      </c>
      <c r="V49">
        <f ca="1">IF(AND($B$74=1,LEN($V$48) * LEN($V$13)&gt;0),($V$48/$V$13)*100,HLOOKUP(INDIRECT(ADDRESS(2,COLUMN())),OFFSET($AH$2,0,0,ROW()-1,28),ROW()-1,FALSE))</f>
        <v>15.57588112</v>
      </c>
      <c r="W49">
        <f ca="1">IF(AND($B$74=1,LEN($W$48) * LEN($W$13)&gt;0),($W$48/$W$13)*100,HLOOKUP(INDIRECT(ADDRESS(2,COLUMN())),OFFSET($AH$2,0,0,ROW()-1,28),ROW()-1,FALSE))</f>
        <v>15.928695879999999</v>
      </c>
      <c r="X49">
        <f ca="1">IF(AND($B$74=1,LEN($X$48) * LEN($X$13)&gt;0),($X$48/$X$13)*100,HLOOKUP(INDIRECT(ADDRESS(2,COLUMN())),OFFSET($AH$2,0,0,ROW()-1,28),ROW()-1,FALSE))</f>
        <v>17.983931999999999</v>
      </c>
      <c r="Y49">
        <f ca="1">IF(AND($B$74=1,LEN($Y$48) * LEN($Y$13)&gt;0),($Y$48/$Y$13)*100,HLOOKUP(INDIRECT(ADDRESS(2,COLUMN())),OFFSET($AH$2,0,0,ROW()-1,28),ROW()-1,FALSE))</f>
        <v>18.86300306</v>
      </c>
      <c r="Z49">
        <f ca="1">IF(AND($B$74=1,LEN($Z$48) * LEN($Z$13)&gt;0),($Z$48/$Z$13)*100,HLOOKUP(INDIRECT(ADDRESS(2,COLUMN())),OFFSET($AH$2,0,0,ROW()-1,28),ROW()-1,FALSE))</f>
        <v>19.40826032</v>
      </c>
      <c r="AA49">
        <f ca="1">IF(AND($B$74=1,LEN($AA$48) * LEN($AA$13)&gt;0),($AA$48/$AA$13)*100,HLOOKUP(INDIRECT(ADDRESS(2,COLUMN())),OFFSET($AH$2,0,0,ROW()-1,28),ROW()-1,FALSE))</f>
        <v>17.742829820000001</v>
      </c>
      <c r="AB49">
        <f ca="1">IF(AND($B$74=1,LEN($AB$48) * LEN($AB$13)&gt;0),($AB$48/$AB$13)*100,HLOOKUP(INDIRECT(ADDRESS(2,COLUMN())),OFFSET($AH$2,0,0,ROW()-1,28),ROW()-1,FALSE))</f>
        <v>19.172304889999999</v>
      </c>
      <c r="AC49">
        <f ca="1">IF(AND($B$74=1,LEN($AC$48) * LEN($AC$13)&gt;0),($AC$48/$AC$13)*100,HLOOKUP(INDIRECT(ADDRESS(2,COLUMN())),OFFSET($AH$2,0,0,ROW()-1,28),ROW()-1,FALSE))</f>
        <v>18.181606810000002</v>
      </c>
      <c r="AD49">
        <f ca="1">IF(AND($B$74=1,LEN($AD$48) * LEN($AD$13)&gt;0),($AD$48/$AD$13)*100,HLOOKUP(INDIRECT(ADDRESS(2,COLUMN())),OFFSET($AH$2,0,0,ROW()-1,28),ROW()-1,FALSE))</f>
        <v>20.91129243</v>
      </c>
      <c r="AE49">
        <f ca="1">IF(AND($B$74=1,LEN($AE$48) * LEN($AE$13)&gt;0),($AE$48/$AE$13)*100,HLOOKUP(INDIRECT(ADDRESS(2,COLUMN())),OFFSET($AH$2,0,0,ROW()-1,28),ROW()-1,FALSE))</f>
        <v>22.437426290000001</v>
      </c>
      <c r="AF49">
        <f ca="1">IF(AND($B$74=1,LEN($AF$48) * LEN($AF$13)&gt;0),($AF$48/$AF$13)*100,HLOOKUP(INDIRECT(ADDRESS(2,COLUMN())),OFFSET($AH$2,0,0,ROW()-1,28),ROW()-1,FALSE))</f>
        <v>25.286677999999998</v>
      </c>
      <c r="AG49">
        <f ca="1">IF(AND($B$74=1,LEN($AG$48) * LEN($AG$13)&gt;0),($AG$48/$AG$13)*100,HLOOKUP(INDIRECT(ADDRESS(2,COLUMN())),OFFSET($AH$2,0,0,ROW()-1,28),ROW()-1,FALSE))</f>
        <v>25.46619626</v>
      </c>
      <c r="AH49">
        <f>22.24499568</f>
        <v>22.244995679999999</v>
      </c>
      <c r="AI49">
        <f>21.61083655</f>
        <v>21.610836549999998</v>
      </c>
      <c r="AJ49">
        <f>22.55076748</f>
        <v>22.550767480000001</v>
      </c>
      <c r="AK49">
        <f>21.27374619</f>
        <v>21.273746190000001</v>
      </c>
      <c r="AL49">
        <f>22.60512043</f>
        <v>22.605120429999999</v>
      </c>
      <c r="AM49">
        <f>22.24564646</f>
        <v>22.24564646</v>
      </c>
      <c r="AN49">
        <f>21.36175137</f>
        <v>21.36175137</v>
      </c>
      <c r="AO49">
        <f>19.91826405</f>
        <v>19.918264050000001</v>
      </c>
      <c r="AP49">
        <f>17.20294572</f>
        <v>17.202945719999999</v>
      </c>
      <c r="AQ49">
        <f>17.21540489</f>
        <v>17.215404889999999</v>
      </c>
      <c r="AR49">
        <f>18.51264701</f>
        <v>18.512647009999998</v>
      </c>
      <c r="AS49">
        <f>23.70763153</f>
        <v>23.70763153</v>
      </c>
      <c r="AT49">
        <f>17.96242207</f>
        <v>17.962422069999999</v>
      </c>
      <c r="AU49">
        <f>17.76056605</f>
        <v>17.760566050000001</v>
      </c>
      <c r="AV49">
        <f>18.98829821</f>
        <v>18.98829821</v>
      </c>
      <c r="AW49">
        <f>15.75208616</f>
        <v>15.752086159999999</v>
      </c>
      <c r="AX49">
        <f>15.57588112</f>
        <v>15.57588112</v>
      </c>
      <c r="AY49">
        <f>15.92869588</f>
        <v>15.928695879999999</v>
      </c>
      <c r="AZ49">
        <f>17.983932</f>
        <v>17.983931999999999</v>
      </c>
      <c r="BA49">
        <f>18.86300306</f>
        <v>18.86300306</v>
      </c>
      <c r="BB49">
        <f>19.40826032</f>
        <v>19.40826032</v>
      </c>
      <c r="BC49">
        <f>17.74282982</f>
        <v>17.742829820000001</v>
      </c>
      <c r="BD49">
        <f>19.17230489</f>
        <v>19.172304889999999</v>
      </c>
      <c r="BE49">
        <f>18.18160681</f>
        <v>18.181606810000002</v>
      </c>
      <c r="BF49">
        <f>20.91129243</f>
        <v>20.91129243</v>
      </c>
      <c r="BG49">
        <f>22.43742629</f>
        <v>22.437426290000001</v>
      </c>
      <c r="BH49">
        <f>25.286678</f>
        <v>25.286677999999998</v>
      </c>
      <c r="BI49">
        <f>25.46619626</f>
        <v>25.46619626</v>
      </c>
    </row>
    <row r="50" spans="1:61" x14ac:dyDescent="0.25">
      <c r="A50" t="str">
        <f>"    Ratio of Money Mkt Fund Assets to Total US Equity Market Cap"</f>
        <v xml:space="preserve">    Ratio of Money Mkt Fund Assets to Total US Equity Market Cap</v>
      </c>
      <c r="B50" t="str">
        <f>"WCAUUS Index"</f>
        <v>WCAUUS Index</v>
      </c>
      <c r="E50" t="str">
        <f>"Expression"</f>
        <v>Expression</v>
      </c>
      <c r="F50" t="e">
        <f ca="1">IF(AND($B$74=1,LEN($F$76) * LEN($F$48)&gt;0),($F$48/($F$76))*100,HLOOKUP(INDIRECT(ADDRESS(2,COLUMN())),OFFSET($AH$2,0,0,ROW()-1,28),ROW()-1,FALSE))</f>
        <v>#NAME?</v>
      </c>
      <c r="G50">
        <f ca="1">IF(AND($B$74=1,LEN($G$76) * LEN($G$48)&gt;0),($G$48/($G$76))*100,HLOOKUP(INDIRECT(ADDRESS(2,COLUMN())),OFFSET($AH$2,0,0,ROW()-1,28),ROW()-1,FALSE))</f>
        <v>10.89993121</v>
      </c>
      <c r="H50">
        <f ca="1">IF(AND($B$74=1,LEN($H$76) * LEN($H$48)&gt;0),($H$48/($H$76))*100,HLOOKUP(INDIRECT(ADDRESS(2,COLUMN())),OFFSET($AH$2,0,0,ROW()-1,28),ROW()-1,FALSE))</f>
        <v>11.125507300000001</v>
      </c>
      <c r="I50">
        <f ca="1">IF(AND($B$74=1,LEN($I$76) * LEN($I$48)&gt;0),($I$48/($I$76))*100,HLOOKUP(INDIRECT(ADDRESS(2,COLUMN())),OFFSET($AH$2,0,0,ROW()-1,28),ROW()-1,FALSE))</f>
        <v>10.78616991</v>
      </c>
      <c r="J50">
        <f ca="1">IF(AND($B$74=1,LEN($J$76) * LEN($J$48)&gt;0),($J$48/($J$76))*100,HLOOKUP(INDIRECT(ADDRESS(2,COLUMN())),OFFSET($AH$2,0,0,ROW()-1,28),ROW()-1,FALSE))</f>
        <v>11.760302980000001</v>
      </c>
      <c r="K50">
        <f ca="1">IF(AND($B$74=1,LEN($K$76) * LEN($K$48)&gt;0),($K$48/($K$76))*100,HLOOKUP(INDIRECT(ADDRESS(2,COLUMN())),OFFSET($AH$2,0,0,ROW()-1,28),ROW()-1,FALSE))</f>
        <v>11.74968329</v>
      </c>
      <c r="L50">
        <f ca="1">IF(AND($B$74=1,LEN($L$76) * LEN($L$48)&gt;0),($L$48/($L$76))*100,HLOOKUP(INDIRECT(ADDRESS(2,COLUMN())),OFFSET($AH$2,0,0,ROW()-1,28),ROW()-1,FALSE))</f>
        <v>11.779574070000001</v>
      </c>
      <c r="M50">
        <f ca="1">IF(AND($B$74=1,LEN($M$76) * LEN($M$48)&gt;0),($M$48/($M$76))*100,HLOOKUP(INDIRECT(ADDRESS(2,COLUMN())),OFFSET($AH$2,0,0,ROW()-1,28),ROW()-1,FALSE))</f>
        <v>10.936270990000001</v>
      </c>
      <c r="N50">
        <f ca="1">IF(AND($B$74=1,LEN($N$76) * LEN($N$48)&gt;0),($N$48/($N$76))*100,HLOOKUP(INDIRECT(ADDRESS(2,COLUMN())),OFFSET($AH$2,0,0,ROW()-1,28),ROW()-1,FALSE))</f>
        <v>8.8287517310000005</v>
      </c>
      <c r="O50">
        <f ca="1">IF(AND($B$74=1,LEN($O$76) * LEN($O$48)&gt;0),($O$48/($O$76))*100,HLOOKUP(INDIRECT(ADDRESS(2,COLUMN())),OFFSET($AH$2,0,0,ROW()-1,28),ROW()-1,FALSE))</f>
        <v>9.1044299730000002</v>
      </c>
      <c r="P50">
        <f ca="1">IF(AND($B$74=1,LEN($P$76) * LEN($P$48)&gt;0),($P$48/($P$76))*100,HLOOKUP(INDIRECT(ADDRESS(2,COLUMN())),OFFSET($AH$2,0,0,ROW()-1,28),ROW()-1,FALSE))</f>
        <v>10.16297546</v>
      </c>
      <c r="Q50">
        <f ca="1">IF(AND($B$74=1,LEN($Q$76) * LEN($Q$48)&gt;0),($Q$48/($Q$76))*100,HLOOKUP(INDIRECT(ADDRESS(2,COLUMN())),OFFSET($AH$2,0,0,ROW()-1,28),ROW()-1,FALSE))</f>
        <v>14.33268885</v>
      </c>
      <c r="R50">
        <f ca="1">IF(AND($B$74=1,LEN($R$76) * LEN($R$48)&gt;0),($R$48/($R$76))*100,HLOOKUP(INDIRECT(ADDRESS(2,COLUMN())),OFFSET($AH$2,0,0,ROW()-1,28),ROW()-1,FALSE))</f>
        <v>10.62833198</v>
      </c>
      <c r="S50">
        <f ca="1">IF(AND($B$74=1,LEN($S$76) * LEN($S$48)&gt;0),($S$48/($S$76))*100,HLOOKUP(INDIRECT(ADDRESS(2,COLUMN())),OFFSET($AH$2,0,0,ROW()-1,28),ROW()-1,FALSE))</f>
        <v>10.37467747</v>
      </c>
      <c r="T50">
        <f ca="1">IF(AND($B$74=1,LEN($T$76) * LEN($T$48)&gt;0),($T$48/($T$76))*100,HLOOKUP(INDIRECT(ADDRESS(2,COLUMN())),OFFSET($AH$2,0,0,ROW()-1,28),ROW()-1,FALSE))</f>
        <v>11.540303010000001</v>
      </c>
      <c r="U50">
        <f ca="1">IF(AND($B$74=1,LEN($U$76) * LEN($U$48)&gt;0),($U$48/($U$76))*100,HLOOKUP(INDIRECT(ADDRESS(2,COLUMN())),OFFSET($AH$2,0,0,ROW()-1,28),ROW()-1,FALSE))</f>
        <v>9.2884755210000005</v>
      </c>
      <c r="V50">
        <f ca="1">IF(AND($B$74=1,LEN($V$76) * LEN($V$48)&gt;0),($V$48/($V$76))*100,HLOOKUP(INDIRECT(ADDRESS(2,COLUMN())),OFFSET($AH$2,0,0,ROW()-1,28),ROW()-1,FALSE))</f>
        <v>9.1475970019999995</v>
      </c>
      <c r="W50">
        <f ca="1">IF(AND($B$74=1,LEN($W$76) * LEN($W$48)&gt;0),($W$48/($W$76))*100,HLOOKUP(INDIRECT(ADDRESS(2,COLUMN())),OFFSET($AH$2,0,0,ROW()-1,28),ROW()-1,FALSE))</f>
        <v>9.3902189679999992</v>
      </c>
      <c r="X50">
        <f ca="1">IF(AND($B$74=1,LEN($X$76) * LEN($X$48)&gt;0),($X$48/($X$76))*100,HLOOKUP(INDIRECT(ADDRESS(2,COLUMN())),OFFSET($AH$2,0,0,ROW()-1,28),ROW()-1,FALSE))</f>
        <v>10.220572069999999</v>
      </c>
      <c r="Y50">
        <f ca="1">IF(AND($B$74=1,LEN($Y$76) * LEN($Y$48)&gt;0),($Y$48/($Y$76))*100,HLOOKUP(INDIRECT(ADDRESS(2,COLUMN())),OFFSET($AH$2,0,0,ROW()-1,28),ROW()-1,FALSE))</f>
        <v>10.989364869999999</v>
      </c>
      <c r="Z50">
        <f ca="1">IF(AND($B$74=1,LEN($Z$76) * LEN($Z$48)&gt;0),($Z$48/($Z$76))*100,HLOOKUP(INDIRECT(ADDRESS(2,COLUMN())),OFFSET($AH$2,0,0,ROW()-1,28),ROW()-1,FALSE))</f>
        <v>10.740294609999999</v>
      </c>
      <c r="AA50">
        <f ca="1">IF(AND($B$74=1,LEN($AA$76) * LEN($AA$48)&gt;0),($AA$48/($AA$76))*100,HLOOKUP(INDIRECT(ADDRESS(2,COLUMN())),OFFSET($AH$2,0,0,ROW()-1,28),ROW()-1,FALSE))</f>
        <v>9.7969094489999993</v>
      </c>
      <c r="AB50">
        <f ca="1">IF(AND($B$74=1,LEN($AB$76) * LEN($AB$48)&gt;0),($AB$48/($AB$76))*100,HLOOKUP(INDIRECT(ADDRESS(2,COLUMN())),OFFSET($AH$2,0,0,ROW()-1,28),ROW()-1,FALSE))</f>
        <v>10.224537679999999</v>
      </c>
      <c r="AC50">
        <f ca="1">IF(AND($B$74=1,LEN($AC$76) * LEN($AC$48)&gt;0),($AC$48/($AC$76))*100,HLOOKUP(INDIRECT(ADDRESS(2,COLUMN())),OFFSET($AH$2,0,0,ROW()-1,28),ROW()-1,FALSE))</f>
        <v>9.9454587459999999</v>
      </c>
      <c r="AD50">
        <f ca="1">IF(AND($B$74=1,LEN($AD$76) * LEN($AD$48)&gt;0),($AD$48/($AD$76))*100,HLOOKUP(INDIRECT(ADDRESS(2,COLUMN())),OFFSET($AH$2,0,0,ROW()-1,28),ROW()-1,FALSE))</f>
        <v>11.080282179999999</v>
      </c>
      <c r="AE50">
        <f ca="1">IF(AND($B$74=1,LEN($AE$76) * LEN($AE$48)&gt;0),($AE$48/($AE$76))*100,HLOOKUP(INDIRECT(ADDRESS(2,COLUMN())),OFFSET($AH$2,0,0,ROW()-1,28),ROW()-1,FALSE))</f>
        <v>12.48051308</v>
      </c>
      <c r="AF50">
        <f ca="1">IF(AND($B$74=1,LEN($AF$76) * LEN($AF$48)&gt;0),($AF$48/($AF$76))*100,HLOOKUP(INDIRECT(ADDRESS(2,COLUMN())),OFFSET($AH$2,0,0,ROW()-1,28),ROW()-1,FALSE))</f>
        <v>14.56610369</v>
      </c>
      <c r="AG50">
        <f ca="1">IF(AND($B$74=1,LEN($AG$76) * LEN($AG$48)&gt;0),($AG$48/($AG$76))*100,HLOOKUP(INDIRECT(ADDRESS(2,COLUMN())),OFFSET($AH$2,0,0,ROW()-1,28),ROW()-1,FALSE))</f>
        <v>13.965038420000001</v>
      </c>
      <c r="AH50">
        <f>10.81891885</f>
        <v>10.818918849999999</v>
      </c>
      <c r="AI50">
        <f>10.89993121</f>
        <v>10.89993121</v>
      </c>
      <c r="AJ50">
        <f>11.1255073</f>
        <v>11.125507300000001</v>
      </c>
      <c r="AK50">
        <f>10.78616991</f>
        <v>10.78616991</v>
      </c>
      <c r="AL50">
        <f>11.76030298</f>
        <v>11.760302980000001</v>
      </c>
      <c r="AM50">
        <f>11.74968329</f>
        <v>11.74968329</v>
      </c>
      <c r="AN50">
        <f>11.77957407</f>
        <v>11.779574070000001</v>
      </c>
      <c r="AO50">
        <f>10.93627099</f>
        <v>10.936270990000001</v>
      </c>
      <c r="AP50">
        <f>8.828751731</f>
        <v>8.8287517310000005</v>
      </c>
      <c r="AQ50">
        <f>9.104429973</f>
        <v>9.1044299730000002</v>
      </c>
      <c r="AR50">
        <f>10.16297546</f>
        <v>10.16297546</v>
      </c>
      <c r="AS50">
        <f>14.33268885</f>
        <v>14.33268885</v>
      </c>
      <c r="AT50">
        <f>10.62833198</f>
        <v>10.62833198</v>
      </c>
      <c r="AU50">
        <f>10.37467747</f>
        <v>10.37467747</v>
      </c>
      <c r="AV50">
        <f>11.54030301</f>
        <v>11.540303010000001</v>
      </c>
      <c r="AW50">
        <f>9.288475521</f>
        <v>9.2884755210000005</v>
      </c>
      <c r="AX50">
        <f>9.147597002</f>
        <v>9.1475970019999995</v>
      </c>
      <c r="AY50">
        <f>9.390218968</f>
        <v>9.3902189679999992</v>
      </c>
      <c r="AZ50">
        <f>10.22057207</f>
        <v>10.220572069999999</v>
      </c>
      <c r="BA50">
        <f>10.98936487</f>
        <v>10.989364869999999</v>
      </c>
      <c r="BB50">
        <f>10.74029461</f>
        <v>10.740294609999999</v>
      </c>
      <c r="BC50">
        <f>9.796909449</f>
        <v>9.7969094489999993</v>
      </c>
      <c r="BD50">
        <f>10.22453768</f>
        <v>10.224537679999999</v>
      </c>
      <c r="BE50">
        <f>9.945458746</f>
        <v>9.9454587459999999</v>
      </c>
      <c r="BF50">
        <f>11.08028218</f>
        <v>11.080282179999999</v>
      </c>
      <c r="BG50">
        <f>12.48051308</f>
        <v>12.48051308</v>
      </c>
      <c r="BH50">
        <f>14.56610369</f>
        <v>14.56610369</v>
      </c>
      <c r="BI50">
        <f>13.96503842</f>
        <v>13.965038420000001</v>
      </c>
    </row>
    <row r="51" spans="1:61" x14ac:dyDescent="0.25">
      <c r="A51" t="str">
        <f>"    Ratio of Money Mkt Fund Assets to US M2 Money Supply"</f>
        <v xml:space="preserve">    Ratio of Money Mkt Fund Assets to US M2 Money Supply</v>
      </c>
      <c r="B51" t="str">
        <f>"M2 Index"</f>
        <v>M2 Index</v>
      </c>
      <c r="E51" t="str">
        <f>"Expression"</f>
        <v>Expression</v>
      </c>
      <c r="F51" t="e">
        <f ca="1">IF(AND($B$74=1,LEN($F$77) * LEN($F$48)&gt;0),($F$48/($F$77))/10,HLOOKUP(INDIRECT(ADDRESS(2,COLUMN())),OFFSET($AH$2,0,0,ROW()-1,28),ROW()-1,FALSE))</f>
        <v>#NAME?</v>
      </c>
      <c r="G51">
        <f ca="1">IF(AND($B$74=1,LEN($G$77) * LEN($G$48)&gt;0),($G$48/($G$77))/10,HLOOKUP(INDIRECT(ADDRESS(2,COLUMN())),OFFSET($AH$2,0,0,ROW()-1,28),ROW()-1,FALSE))</f>
        <v>32.144377349999999</v>
      </c>
      <c r="H51">
        <f ca="1">IF(AND($B$74=1,LEN($H$77) * LEN($H$48)&gt;0),($H$48/($H$77))/10,HLOOKUP(INDIRECT(ADDRESS(2,COLUMN())),OFFSET($AH$2,0,0,ROW()-1,28),ROW()-1,FALSE))</f>
        <v>32.188195759999999</v>
      </c>
      <c r="I51">
        <f ca="1">IF(AND($B$74=1,LEN($I$77) * LEN($I$48)&gt;0),($I$48/($I$77))/10,HLOOKUP(INDIRECT(ADDRESS(2,COLUMN())),OFFSET($AH$2,0,0,ROW()-1,28),ROW()-1,FALSE))</f>
        <v>29.138416670000002</v>
      </c>
      <c r="J51">
        <f ca="1">IF(AND($B$74=1,LEN($J$77) * LEN($J$48)&gt;0),($J$48/($J$77))/10,HLOOKUP(INDIRECT(ADDRESS(2,COLUMN())),OFFSET($AH$2,0,0,ROW()-1,28),ROW()-1,FALSE))</f>
        <v>28.670089950000001</v>
      </c>
      <c r="K51">
        <f ca="1">IF(AND($B$74=1,LEN($K$77) * LEN($K$48)&gt;0),($K$48/($K$77))/10,HLOOKUP(INDIRECT(ADDRESS(2,COLUMN())),OFFSET($AH$2,0,0,ROW()-1,28),ROW()-1,FALSE))</f>
        <v>26.41225635</v>
      </c>
      <c r="L51">
        <f ca="1">IF(AND($B$74=1,LEN($L$77) * LEN($L$48)&gt;0),($L$48/($L$77))/10,HLOOKUP(INDIRECT(ADDRESS(2,COLUMN())),OFFSET($AH$2,0,0,ROW()-1,28),ROW()-1,FALSE))</f>
        <v>22.79523069</v>
      </c>
      <c r="M51">
        <f ca="1">IF(AND($B$74=1,LEN($M$77) * LEN($M$48)&gt;0),($M$48/($M$77))/10,HLOOKUP(INDIRECT(ADDRESS(2,COLUMN())),OFFSET($AH$2,0,0,ROW()-1,28),ROW()-1,FALSE))</f>
        <v>20.909074109999999</v>
      </c>
      <c r="N51">
        <f ca="1">IF(AND($B$74=1,LEN($N$77) * LEN($N$48)&gt;0),($N$48/($N$77))/10,HLOOKUP(INDIRECT(ADDRESS(2,COLUMN())),OFFSET($AH$2,0,0,ROW()-1,28),ROW()-1,FALSE))</f>
        <v>22.107783090000002</v>
      </c>
      <c r="O51">
        <f ca="1">IF(AND($B$74=1,LEN($O$77) * LEN($O$48)&gt;0),($O$48/($O$77))/10,HLOOKUP(INDIRECT(ADDRESS(2,COLUMN())),OFFSET($AH$2,0,0,ROW()-1,28),ROW()-1,FALSE))</f>
        <v>22.078845690000001</v>
      </c>
      <c r="P51">
        <f ca="1">IF(AND($B$74=1,LEN($P$77) * LEN($P$48)&gt;0),($P$48/($P$77))/10,HLOOKUP(INDIRECT(ADDRESS(2,COLUMN())),OFFSET($AH$2,0,0,ROW()-1,28),ROW()-1,FALSE))</f>
        <v>22.649715149999999</v>
      </c>
      <c r="Q51">
        <f ca="1">IF(AND($B$74=1,LEN($Q$77) * LEN($Q$48)&gt;0),($Q$48/($Q$77))/10,HLOOKUP(INDIRECT(ADDRESS(2,COLUMN())),OFFSET($AH$2,0,0,ROW()-1,28),ROW()-1,FALSE))</f>
        <v>25.913034849999999</v>
      </c>
      <c r="R51">
        <f ca="1">IF(AND($B$74=1,LEN($R$77) * LEN($R$48)&gt;0),($R$48/($R$77))/10,HLOOKUP(INDIRECT(ADDRESS(2,COLUMN())),OFFSET($AH$2,0,0,ROW()-1,28),ROW()-1,FALSE))</f>
        <v>23.805546140000001</v>
      </c>
      <c r="S51">
        <f ca="1">IF(AND($B$74=1,LEN($S$77) * LEN($S$48)&gt;0),($S$48/($S$77))/10,HLOOKUP(INDIRECT(ADDRESS(2,COLUMN())),OFFSET($AH$2,0,0,ROW()-1,28),ROW()-1,FALSE))</f>
        <v>22.35332747</v>
      </c>
      <c r="T51">
        <f ca="1">IF(AND($B$74=1,LEN($T$77) * LEN($T$48)&gt;0),($T$48/($T$77))/10,HLOOKUP(INDIRECT(ADDRESS(2,COLUMN())),OFFSET($AH$2,0,0,ROW()-1,28),ROW()-1,FALSE))</f>
        <v>21.561989390000001</v>
      </c>
      <c r="U51">
        <f ca="1">IF(AND($B$74=1,LEN($U$77) * LEN($U$48)&gt;0),($U$48/($U$77))/10,HLOOKUP(INDIRECT(ADDRESS(2,COLUMN())),OFFSET($AH$2,0,0,ROW()-1,28),ROW()-1,FALSE))</f>
        <v>19.880649479999999</v>
      </c>
      <c r="V51">
        <f ca="1">IF(AND($B$74=1,LEN($V$77) * LEN($V$48)&gt;0),($V$48/($V$77))/10,HLOOKUP(INDIRECT(ADDRESS(2,COLUMN())),OFFSET($AH$2,0,0,ROW()-1,28),ROW()-1,FALSE))</f>
        <v>19.54625725</v>
      </c>
      <c r="W51">
        <f ca="1">IF(AND($B$74=1,LEN($W$77) * LEN($W$48)&gt;0),($W$48/($W$77))/10,HLOOKUP(INDIRECT(ADDRESS(2,COLUMN())),OFFSET($AH$2,0,0,ROW()-1,28),ROW()-1,FALSE))</f>
        <v>18.698268930000001</v>
      </c>
      <c r="X51">
        <f ca="1">IF(AND($B$74=1,LEN($X$77) * LEN($X$48)&gt;0),($X$48/($X$77))/10,HLOOKUP(INDIRECT(ADDRESS(2,COLUMN())),OFFSET($AH$2,0,0,ROW()-1,28),ROW()-1,FALSE))</f>
        <v>19.47738511</v>
      </c>
      <c r="Y51">
        <f ca="1">IF(AND($B$74=1,LEN($Y$77) * LEN($Y$48)&gt;0),($Y$48/($Y$77))/10,HLOOKUP(INDIRECT(ADDRESS(2,COLUMN())),OFFSET($AH$2,0,0,ROW()-1,28),ROW()-1,FALSE))</f>
        <v>20.046902630000002</v>
      </c>
      <c r="Z51">
        <f ca="1">IF(AND($B$74=1,LEN($Z$77) * LEN($Z$48)&gt;0),($Z$48/($Z$77))/10,HLOOKUP(INDIRECT(ADDRESS(2,COLUMN())),OFFSET($AH$2,0,0,ROW()-1,28),ROW()-1,FALSE))</f>
        <v>20.445254769999998</v>
      </c>
      <c r="AA51">
        <f ca="1">IF(AND($B$74=1,LEN($AA$77) * LEN($AA$48)&gt;0),($AA$48/($AA$77))/10,HLOOKUP(INDIRECT(ADDRESS(2,COLUMN())),OFFSET($AH$2,0,0,ROW()-1,28),ROW()-1,FALSE))</f>
        <v>20.017993100000002</v>
      </c>
      <c r="AB51">
        <f ca="1">IF(AND($B$74=1,LEN($AB$77) * LEN($AB$48)&gt;0),($AB$48/($AB$77))/10,HLOOKUP(INDIRECT(ADDRESS(2,COLUMN())),OFFSET($AH$2,0,0,ROW()-1,28),ROW()-1,FALSE))</f>
        <v>21.333133920000002</v>
      </c>
      <c r="AC51">
        <f ca="1">IF(AND($B$74=1,LEN($AC$77) * LEN($AC$48)&gt;0),($AC$48/($AC$77))/10,HLOOKUP(INDIRECT(ADDRESS(2,COLUMN())),OFFSET($AH$2,0,0,ROW()-1,28),ROW()-1,FALSE))</f>
        <v>20.609164700000001</v>
      </c>
      <c r="AD51">
        <f ca="1">IF(AND($B$74=1,LEN($AD$77) * LEN($AD$48)&gt;0),($AD$48/($AD$77))/10,HLOOKUP(INDIRECT(ADDRESS(2,COLUMN())),OFFSET($AH$2,0,0,ROW()-1,28),ROW()-1,FALSE))</f>
        <v>22.347989030000001</v>
      </c>
      <c r="AE51">
        <f ca="1">IF(AND($B$74=1,LEN($AE$77) * LEN($AE$48)&gt;0),($AE$48/($AE$77))/10,HLOOKUP(INDIRECT(ADDRESS(2,COLUMN())),OFFSET($AH$2,0,0,ROW()-1,28),ROW()-1,FALSE))</f>
        <v>22.20955356</v>
      </c>
      <c r="AF51">
        <f ca="1">IF(AND($B$74=1,LEN($AF$77) * LEN($AF$48)&gt;0),($AF$48/($AF$77))/10,HLOOKUP(INDIRECT(ADDRESS(2,COLUMN())),OFFSET($AH$2,0,0,ROW()-1,28),ROW()-1,FALSE))</f>
        <v>23.440772949999999</v>
      </c>
      <c r="AG51">
        <f ca="1">IF(AND($B$74=1,LEN($AG$77) * LEN($AG$48)&gt;0),($AG$48/($AG$77))/10,HLOOKUP(INDIRECT(ADDRESS(2,COLUMN())),OFFSET($AH$2,0,0,ROW()-1,28),ROW()-1,FALSE))</f>
        <v>22.564217800000002</v>
      </c>
      <c r="AH51">
        <f>34.82481817</f>
        <v>34.82481817</v>
      </c>
      <c r="AI51">
        <f>32.14437735</f>
        <v>32.144377349999999</v>
      </c>
      <c r="AJ51">
        <f>32.18819576</f>
        <v>32.188195759999999</v>
      </c>
      <c r="AK51">
        <f>29.13841667</f>
        <v>29.138416670000002</v>
      </c>
      <c r="AL51">
        <f>28.67008995</f>
        <v>28.670089950000001</v>
      </c>
      <c r="AM51">
        <f>26.41225635</f>
        <v>26.41225635</v>
      </c>
      <c r="AN51">
        <f>22.79523069</f>
        <v>22.79523069</v>
      </c>
      <c r="AO51">
        <f>20.90907411</f>
        <v>20.909074109999999</v>
      </c>
      <c r="AP51">
        <f>22.10778309</f>
        <v>22.107783090000002</v>
      </c>
      <c r="AQ51">
        <f>22.07884569</f>
        <v>22.078845690000001</v>
      </c>
      <c r="AR51">
        <f>22.64971515</f>
        <v>22.649715149999999</v>
      </c>
      <c r="AS51">
        <f>25.91303485</f>
        <v>25.913034849999999</v>
      </c>
      <c r="AT51">
        <f>23.80554614</f>
        <v>23.805546140000001</v>
      </c>
      <c r="AU51">
        <f>22.35332747</f>
        <v>22.35332747</v>
      </c>
      <c r="AV51">
        <f>21.56198939</f>
        <v>21.561989390000001</v>
      </c>
      <c r="AW51">
        <f>19.88064948</f>
        <v>19.880649479999999</v>
      </c>
      <c r="AX51">
        <f>19.54625725</f>
        <v>19.54625725</v>
      </c>
      <c r="AY51">
        <f>18.69826893</f>
        <v>18.698268930000001</v>
      </c>
      <c r="AZ51">
        <f>19.47738511</f>
        <v>19.47738511</v>
      </c>
      <c r="BA51">
        <f>20.04690263</f>
        <v>20.046902630000002</v>
      </c>
      <c r="BB51">
        <f>20.44525477</f>
        <v>20.445254769999998</v>
      </c>
      <c r="BC51">
        <f>20.0179931</f>
        <v>20.017993100000002</v>
      </c>
      <c r="BD51">
        <f>21.33313392</f>
        <v>21.333133920000002</v>
      </c>
      <c r="BE51">
        <f>20.6091647</f>
        <v>20.609164700000001</v>
      </c>
      <c r="BF51">
        <f>22.34798903</f>
        <v>22.347989030000001</v>
      </c>
      <c r="BG51">
        <f>22.20955356</f>
        <v>22.20955356</v>
      </c>
      <c r="BH51">
        <f>23.44077295</f>
        <v>23.440772949999999</v>
      </c>
      <c r="BI51">
        <f>22.5642178</f>
        <v>22.564217800000002</v>
      </c>
    </row>
    <row r="52" spans="1:61" x14ac:dyDescent="0.25">
      <c r="A52" t="str">
        <f>"ETF &amp; Mutual fund AUM by Type ($MM)"</f>
        <v>ETF &amp; Mutual fund AUM by Type ($MM)</v>
      </c>
      <c r="B52" t="str">
        <f>""</f>
        <v/>
      </c>
      <c r="E52" t="str">
        <f>"Heading"</f>
        <v>Heading</v>
      </c>
      <c r="AH52" t="str">
        <f>""</f>
        <v/>
      </c>
      <c r="AI52" t="str">
        <f>""</f>
        <v/>
      </c>
      <c r="AJ52" t="str">
        <f>""</f>
        <v/>
      </c>
      <c r="AK52" t="str">
        <f>""</f>
        <v/>
      </c>
      <c r="AL52" t="str">
        <f>""</f>
        <v/>
      </c>
      <c r="AM52" t="str">
        <f>""</f>
        <v/>
      </c>
      <c r="AN52" t="str">
        <f>""</f>
        <v/>
      </c>
      <c r="AO52" t="str">
        <f>""</f>
        <v/>
      </c>
      <c r="AP52" t="str">
        <f>""</f>
        <v/>
      </c>
      <c r="AQ52" t="str">
        <f>""</f>
        <v/>
      </c>
      <c r="AR52" t="str">
        <f>""</f>
        <v/>
      </c>
      <c r="AS52" t="str">
        <f>""</f>
        <v/>
      </c>
      <c r="AT52" t="str">
        <f>""</f>
        <v/>
      </c>
      <c r="AU52" t="str">
        <f>""</f>
        <v/>
      </c>
      <c r="AV52" t="str">
        <f>""</f>
        <v/>
      </c>
      <c r="AW52" t="str">
        <f>""</f>
        <v/>
      </c>
      <c r="AX52" t="str">
        <f>""</f>
        <v/>
      </c>
      <c r="AY52" t="str">
        <f>""</f>
        <v/>
      </c>
      <c r="AZ52" t="str">
        <f>""</f>
        <v/>
      </c>
      <c r="BA52" t="str">
        <f>""</f>
        <v/>
      </c>
      <c r="BB52" t="str">
        <f>""</f>
        <v/>
      </c>
      <c r="BC52" t="str">
        <f>""</f>
        <v/>
      </c>
      <c r="BD52" t="str">
        <f>""</f>
        <v/>
      </c>
      <c r="BE52" t="str">
        <f>""</f>
        <v/>
      </c>
      <c r="BF52" t="str">
        <f>""</f>
        <v/>
      </c>
      <c r="BG52" t="str">
        <f>""</f>
        <v/>
      </c>
      <c r="BH52" t="str">
        <f>""</f>
        <v/>
      </c>
      <c r="BI52" t="str">
        <f>""</f>
        <v/>
      </c>
    </row>
    <row r="53" spans="1:61" x14ac:dyDescent="0.25">
      <c r="A53" t="str">
        <f>"    All ETFs &amp; Mutual Funds (estimated, smoothed)"</f>
        <v xml:space="preserve">    All ETFs &amp; Mutual Funds (estimated, smoothed)</v>
      </c>
      <c r="B53" t="str">
        <f>""</f>
        <v/>
      </c>
      <c r="E53" t="str">
        <f>"Sum"</f>
        <v>Sum</v>
      </c>
      <c r="F53">
        <f ca="1">IF(ISERROR(IF(SUM($F$54:$F$55) = 0, "", SUM($F$54:$F$55))), "", (IF(SUM($F$54:$F$55) = 0, "", SUM($F$54:$F$55))))</f>
        <v>35084700</v>
      </c>
      <c r="G53">
        <f ca="1">IF(ISERROR(IF(SUM($G$54:$G$55) = 0, "", SUM($G$54:$G$55))), "", (IF(SUM($G$54:$G$55) = 0, "", SUM($G$54:$G$55))))</f>
        <v>32637700</v>
      </c>
      <c r="H53">
        <f ca="1">IF(ISERROR(IF(SUM($H$54:$H$55) = 0, "", SUM($H$54:$H$55))), "", (IF(SUM($H$54:$H$55) = 0, "", SUM($H$54:$H$55))))</f>
        <v>30580600</v>
      </c>
      <c r="I53">
        <f ca="1">IF(ISERROR(IF(SUM($I$54:$I$55) = 0, "", SUM($I$54:$I$55))), "", (IF(SUM($I$54:$I$55) = 0, "", SUM($I$54:$I$55))))</f>
        <v>28836200</v>
      </c>
      <c r="J53">
        <f ca="1">IF(ISERROR(IF(SUM($J$54:$J$55) = 0, "", SUM($J$54:$J$55))), "", (IF(SUM($J$54:$J$55) = 0, "", SUM($J$54:$J$55))))</f>
        <v>26255600</v>
      </c>
      <c r="K53">
        <f ca="1">IF(ISERROR(IF(SUM($K$54:$K$55) = 0, "", SUM($K$54:$K$55))), "", (IF(SUM($K$54:$K$55) = 0, "", SUM($K$54:$K$55))))</f>
        <v>24675300</v>
      </c>
      <c r="L53">
        <f ca="1">IF(ISERROR(IF(SUM($L$54:$L$55) = 0, "", SUM($L$54:$L$55))), "", (IF(SUM($L$54:$L$55) = 0, "", SUM($L$54:$L$55))))</f>
        <v>22642900</v>
      </c>
      <c r="M53">
        <f ca="1">IF(ISERROR(IF(SUM($M$54:$M$55) = 0, "", SUM($M$54:$M$55))), "", (IF(SUM($M$54:$M$55) = 0, "", SUM($M$54:$M$55))))</f>
        <v>22719500</v>
      </c>
      <c r="N53">
        <f ca="1">IF(ISERROR(IF(SUM($N$54:$N$55) = 0, "", SUM($N$54:$N$55))), "", (IF(SUM($N$54:$N$55) = 0, "", SUM($N$54:$N$55))))</f>
        <v>27592600</v>
      </c>
      <c r="O53">
        <f ca="1">IF(ISERROR(IF(SUM($O$54:$O$55) = 0, "", SUM($O$54:$O$55))), "", (IF(SUM($O$54:$O$55) = 0, "", SUM($O$54:$O$55))))</f>
        <v>26256600</v>
      </c>
      <c r="P53">
        <f ca="1">IF(ISERROR(IF(SUM($P$54:$P$55) = 0, "", SUM($P$54:$P$55))), "", (IF(SUM($P$54:$P$55) = 0, "", SUM($P$54:$P$55))))</f>
        <v>23408700</v>
      </c>
      <c r="Q53">
        <f ca="1">IF(ISERROR(IF(SUM($Q$54:$Q$55) = 0, "", SUM($Q$54:$Q$55))), "", (IF(SUM($Q$54:$Q$55) = 0, "", SUM($Q$54:$Q$55))))</f>
        <v>19828130</v>
      </c>
      <c r="R53">
        <f ca="1">IF(ISERROR(IF(SUM($R$54:$R$55) = 0, "", SUM($R$54:$R$55))), "", (IF(SUM($R$54:$R$55) = 0, "", SUM($R$54:$R$55))))</f>
        <v>20340130</v>
      </c>
      <c r="S53">
        <f ca="1">IF(ISERROR(IF(SUM($S$54:$S$55) = 0, "", SUM($S$54:$S$55))), "", (IF(SUM($S$54:$S$55) = 0, "", SUM($S$54:$S$55))))</f>
        <v>18590680</v>
      </c>
      <c r="T53">
        <f ca="1">IF(ISERROR(IF(SUM($T$54:$T$55) = 0, "", SUM($T$54:$T$55))), "", (IF(SUM($T$54:$T$55) = 0, "", SUM($T$54:$T$55))))</f>
        <v>16331690</v>
      </c>
      <c r="U53">
        <f ca="1">IF(ISERROR(IF(SUM($U$54:$U$55) = 0, "", SUM($U$54:$U$55))), "", (IF(SUM($U$54:$U$55) = 0, "", SUM($U$54:$U$55))))</f>
        <v>17807800</v>
      </c>
      <c r="V53">
        <f ca="1">IF(ISERROR(IF(SUM($V$54:$V$55) = 0, "", SUM($V$54:$V$55))), "", (IF(SUM($V$54:$V$55) = 0, "", SUM($V$54:$V$55))))</f>
        <v>17409930</v>
      </c>
      <c r="W53">
        <f ca="1">IF(ISERROR(IF(SUM($W$54:$W$55) = 0, "", SUM($W$54:$W$55))), "", (IF(SUM($W$54:$W$55) = 0, "", SUM($W$54:$W$55))))</f>
        <v>15915490</v>
      </c>
      <c r="X53">
        <f ca="1">IF(ISERROR(IF(SUM($X$54:$X$55) = 0, "", SUM($X$54:$X$55))), "", (IF(SUM($X$54:$X$55) = 0, "", SUM($X$54:$X$55))))</f>
        <v>14324120</v>
      </c>
      <c r="Y53">
        <f ca="1">IF(ISERROR(IF(SUM($Y$54:$Y$55) = 0, "", SUM($Y$54:$Y$55))), "", (IF(SUM($Y$54:$Y$55) = 0, "", SUM($Y$54:$Y$55))))</f>
        <v>13640670</v>
      </c>
      <c r="Z53">
        <f ca="1">IF(ISERROR(IF(SUM($Z$54:$Z$55) = 0, "", SUM($Z$54:$Z$55))), "", (IF(SUM($Z$54:$Z$55) = 0, "", SUM($Z$54:$Z$55))))</f>
        <v>13029040</v>
      </c>
      <c r="AA53">
        <f ca="1">IF(ISERROR(IF(SUM($AA$54:$AA$55) = 0, "", SUM($AA$54:$AA$55))), "", (IF(SUM($AA$54:$AA$55) = 0, "", SUM($AA$54:$AA$55))))</f>
        <v>13543950</v>
      </c>
      <c r="AB53">
        <f ca="1">IF(ISERROR(IF(SUM($AB$54:$AB$55) = 0, "", SUM($AB$54:$AB$55))), "", (IF(SUM($AB$54:$AB$55) = 0, "", SUM($AB$54:$AB$55))))</f>
        <v>13019770</v>
      </c>
      <c r="AC53">
        <f ca="1">IF(ISERROR(IF(SUM($AC$54:$AC$55) = 0, "", SUM($AC$54:$AC$55))), "", (IF(SUM($AC$54:$AC$55) = 0, "", SUM($AC$54:$AC$55))))</f>
        <v>12902600</v>
      </c>
      <c r="AD53">
        <f ca="1">IF(ISERROR(IF(SUM($AD$54:$AD$55) = 0, "", SUM($AD$54:$AD$55))), "", (IF(SUM($AD$54:$AD$55) = 0, "", SUM($AD$54:$AD$55))))</f>
        <v>11805870</v>
      </c>
      <c r="AE53">
        <f ca="1">IF(ISERROR(IF(SUM($AE$54:$AE$55) = 0, "", SUM($AE$54:$AE$55))), "", (IF(SUM($AE$54:$AE$55) = 0, "", SUM($AE$54:$AE$55))))</f>
        <v>10582720</v>
      </c>
      <c r="AF53">
        <f ca="1">IF(ISERROR(IF(SUM($AF$54:$AF$55) = 0, "", SUM($AF$54:$AF$55))), "", (IF(SUM($AF$54:$AF$55) = 0, "", SUM($AF$54:$AF$55))))</f>
        <v>9709500</v>
      </c>
      <c r="AG53">
        <f ca="1">IF(ISERROR(IF(SUM($AG$54:$AG$55) = 0, "", SUM($AG$54:$AG$55))), "", (IF(SUM($AG$54:$AG$55) = 0, "", SUM($AG$54:$AG$55))))</f>
        <v>8871800</v>
      </c>
      <c r="AH53">
        <f>35084700</f>
        <v>35084700</v>
      </c>
      <c r="AI53">
        <f>32637700</f>
        <v>32637700</v>
      </c>
      <c r="AJ53">
        <f>30580600</f>
        <v>30580600</v>
      </c>
      <c r="AK53">
        <f>28836200</f>
        <v>28836200</v>
      </c>
      <c r="AL53">
        <f>26255600</f>
        <v>26255600</v>
      </c>
      <c r="AM53">
        <f>24675300</f>
        <v>24675300</v>
      </c>
      <c r="AN53">
        <f>22642900</f>
        <v>22642900</v>
      </c>
      <c r="AO53">
        <f>22719500</f>
        <v>22719500</v>
      </c>
      <c r="AP53">
        <f>27592600</f>
        <v>27592600</v>
      </c>
      <c r="AQ53">
        <f>26256600</f>
        <v>26256600</v>
      </c>
      <c r="AR53">
        <f>23408700</f>
        <v>23408700</v>
      </c>
      <c r="AS53">
        <f>19828130</f>
        <v>19828130</v>
      </c>
      <c r="AT53">
        <f>20340130</f>
        <v>20340130</v>
      </c>
      <c r="AU53">
        <f>18590680</f>
        <v>18590680</v>
      </c>
      <c r="AV53">
        <f>16331690</f>
        <v>16331690</v>
      </c>
      <c r="AW53">
        <f>17807800</f>
        <v>17807800</v>
      </c>
      <c r="AX53">
        <f>17409930</f>
        <v>17409930</v>
      </c>
      <c r="AY53">
        <f>15915490</f>
        <v>15915490</v>
      </c>
      <c r="AZ53">
        <f>14324120</f>
        <v>14324120</v>
      </c>
      <c r="BA53">
        <f>13640670</f>
        <v>13640670</v>
      </c>
      <c r="BB53">
        <f>13029040</f>
        <v>13029040</v>
      </c>
      <c r="BC53">
        <f>13543950</f>
        <v>13543950</v>
      </c>
      <c r="BD53">
        <f>13019770</f>
        <v>13019770</v>
      </c>
      <c r="BE53">
        <f>12902600</f>
        <v>12902600</v>
      </c>
      <c r="BF53">
        <f>11805870</f>
        <v>11805870</v>
      </c>
      <c r="BG53">
        <f>10582720</f>
        <v>10582720</v>
      </c>
      <c r="BH53">
        <f>9709500</f>
        <v>9709500</v>
      </c>
      <c r="BI53">
        <f>8871800</f>
        <v>8871800</v>
      </c>
    </row>
    <row r="54" spans="1:61" x14ac:dyDescent="0.25">
      <c r="A54" t="str">
        <f>"        Mutual Funds"</f>
        <v xml:space="preserve">        Mutual Funds</v>
      </c>
      <c r="B54" t="str">
        <f>""</f>
        <v/>
      </c>
      <c r="E54" t="str">
        <f>"Expression"</f>
        <v>Expression</v>
      </c>
      <c r="F54">
        <f ca="1">IF(AND($B$74=1,LEN($F$15) * LEN($F$18)&gt;0),$F$15+$F$18,HLOOKUP(INDIRECT(ADDRESS(2,COLUMN())),OFFSET($AH$2,0,0,ROW()-1,28),ROW()-1,FALSE))</f>
        <v>22075840</v>
      </c>
      <c r="G54">
        <f ca="1">IF(AND($B$74=1,LEN($G$15) * LEN($G$18)&gt;0),$G$15+$G$18,HLOOKUP(INDIRECT(ADDRESS(2,COLUMN())),OFFSET($AH$2,0,0,ROW()-1,28),ROW()-1,FALSE))</f>
        <v>21097640</v>
      </c>
      <c r="H54">
        <f ca="1">IF(AND($B$74=1,LEN($H$15) * LEN($H$18)&gt;0),$H$15+$H$18,HLOOKUP(INDIRECT(ADDRESS(2,COLUMN())),OFFSET($AH$2,0,0,ROW()-1,28),ROW()-1,FALSE))</f>
        <v>20150880</v>
      </c>
      <c r="I54">
        <f ca="1">IF(AND($B$74=1,LEN($I$15) * LEN($I$18)&gt;0),$I$15+$I$18,HLOOKUP(INDIRECT(ADDRESS(2,COLUMN())),OFFSET($AH$2,0,0,ROW()-1,28),ROW()-1,FALSE))</f>
        <v>19548480</v>
      </c>
      <c r="J54">
        <f ca="1">IF(AND($B$74=1,LEN($J$15) * LEN($J$18)&gt;0),$J$15+$J$18,HLOOKUP(INDIRECT(ADDRESS(2,COLUMN())),OFFSET($AH$2,0,0,ROW()-1,28),ROW()-1,FALSE))</f>
        <v>18107990</v>
      </c>
      <c r="K54">
        <f ca="1">IF(AND($B$74=1,LEN($K$15) * LEN($K$18)&gt;0),$K$15+$K$18,HLOOKUP(INDIRECT(ADDRESS(2,COLUMN())),OFFSET($AH$2,0,0,ROW()-1,28),ROW()-1,FALSE))</f>
        <v>17315390</v>
      </c>
      <c r="L54">
        <f ca="1">IF(AND($B$74=1,LEN($L$15) * LEN($L$18)&gt;0),$L$15+$L$18,HLOOKUP(INDIRECT(ADDRESS(2,COLUMN())),OFFSET($AH$2,0,0,ROW()-1,28),ROW()-1,FALSE))</f>
        <v>16060910</v>
      </c>
      <c r="M54">
        <f ca="1">IF(AND($B$74=1,LEN($M$15) * LEN($M$18)&gt;0),$M$15+$M$18,HLOOKUP(INDIRECT(ADDRESS(2,COLUMN())),OFFSET($AH$2,0,0,ROW()-1,28),ROW()-1,FALSE))</f>
        <v>16443140</v>
      </c>
      <c r="N54">
        <f ca="1">IF(AND($B$74=1,LEN($N$15) * LEN($N$18)&gt;0),$N$15+$N$18,HLOOKUP(INDIRECT(ADDRESS(2,COLUMN())),OFFSET($AH$2,0,0,ROW()-1,28),ROW()-1,FALSE))</f>
        <v>20357360</v>
      </c>
      <c r="O54">
        <f ca="1">IF(AND($B$74=1,LEN($O$15) * LEN($O$18)&gt;0),$O$15+$O$18,HLOOKUP(INDIRECT(ADDRESS(2,COLUMN())),OFFSET($AH$2,0,0,ROW()-1,28),ROW()-1,FALSE))</f>
        <v>19660920</v>
      </c>
      <c r="P54">
        <f ca="1">IF(AND($B$74=1,LEN($P$15) * LEN($P$18)&gt;0),$P$15+$P$18,HLOOKUP(INDIRECT(ADDRESS(2,COLUMN())),OFFSET($AH$2,0,0,ROW()-1,28),ROW()-1,FALSE))</f>
        <v>17823690</v>
      </c>
      <c r="Q54">
        <f ca="1">IF(AND($B$74=1,LEN($Q$15) * LEN($Q$18)&gt;0),$Q$15+$Q$18,HLOOKUP(INDIRECT(ADDRESS(2,COLUMN())),OFFSET($AH$2,0,0,ROW()-1,28),ROW()-1,FALSE))</f>
        <v>15361140</v>
      </c>
      <c r="R54">
        <f ca="1">IF(AND($B$74=1,LEN($R$15) * LEN($R$18)&gt;0),$R$15+$R$18,HLOOKUP(INDIRECT(ADDRESS(2,COLUMN())),OFFSET($AH$2,0,0,ROW()-1,28),ROW()-1,FALSE))</f>
        <v>15846370</v>
      </c>
      <c r="S54">
        <f ca="1">IF(AND($B$74=1,LEN($S$15) * LEN($S$18)&gt;0),$S$15+$S$18,HLOOKUP(INDIRECT(ADDRESS(2,COLUMN())),OFFSET($AH$2,0,0,ROW()-1,28),ROW()-1,FALSE))</f>
        <v>14568500</v>
      </c>
      <c r="T54">
        <f ca="1">IF(AND($B$74=1,LEN($T$15) * LEN($T$18)&gt;0),$T$15+$T$18,HLOOKUP(INDIRECT(ADDRESS(2,COLUMN())),OFFSET($AH$2,0,0,ROW()-1,28),ROW()-1,FALSE))</f>
        <v>12877700</v>
      </c>
      <c r="U54">
        <f ca="1">IF(AND($B$74=1,LEN($U$15) * LEN($U$18)&gt;0),$U$15+$U$18,HLOOKUP(INDIRECT(ADDRESS(2,COLUMN())),OFFSET($AH$2,0,0,ROW()-1,28),ROW()-1,FALSE))</f>
        <v>14203910</v>
      </c>
      <c r="V54">
        <f ca="1">IF(AND($B$74=1,LEN($V$15) * LEN($V$18)&gt;0),$V$15+$V$18,HLOOKUP(INDIRECT(ADDRESS(2,COLUMN())),OFFSET($AH$2,0,0,ROW()-1,28),ROW()-1,FALSE))</f>
        <v>13911140</v>
      </c>
      <c r="W54">
        <f ca="1">IF(AND($B$74=1,LEN($W$15) * LEN($W$18)&gt;0),$W$15+$W$18,HLOOKUP(INDIRECT(ADDRESS(2,COLUMN())),OFFSET($AH$2,0,0,ROW()-1,28),ROW()-1,FALSE))</f>
        <v>12911950</v>
      </c>
      <c r="X54">
        <f ca="1">IF(AND($B$74=1,LEN($X$15) * LEN($X$18)&gt;0),$X$15+$X$18,HLOOKUP(INDIRECT(ADDRESS(2,COLUMN())),OFFSET($AH$2,0,0,ROW()-1,28),ROW()-1,FALSE))</f>
        <v>11738470</v>
      </c>
      <c r="Y54">
        <f ca="1">IF(AND($B$74=1,LEN($Y$15) * LEN($Y$18)&gt;0),$Y$15+$Y$18,HLOOKUP(INDIRECT(ADDRESS(2,COLUMN())),OFFSET($AH$2,0,0,ROW()-1,28),ROW()-1,FALSE))</f>
        <v>11366320</v>
      </c>
      <c r="Z54">
        <f ca="1">IF(AND($B$74=1,LEN($Z$15) * LEN($Z$18)&gt;0),$Z$15+$Z$18,HLOOKUP(INDIRECT(ADDRESS(2,COLUMN())),OFFSET($AH$2,0,0,ROW()-1,28),ROW()-1,FALSE))</f>
        <v>10930990</v>
      </c>
      <c r="AA54">
        <f ca="1">IF(AND($B$74=1,LEN($AA$15) * LEN($AA$18)&gt;0),$AA$15+$AA$18,HLOOKUP(INDIRECT(ADDRESS(2,COLUMN())),OFFSET($AH$2,0,0,ROW()-1,28),ROW()-1,FALSE))</f>
        <v>11405980</v>
      </c>
      <c r="AB54">
        <f ca="1">IF(AND($B$74=1,LEN($AB$15) * LEN($AB$18)&gt;0),$AB$15+$AB$18,HLOOKUP(INDIRECT(ADDRESS(2,COLUMN())),OFFSET($AH$2,0,0,ROW()-1,28),ROW()-1,FALSE))</f>
        <v>11037520</v>
      </c>
      <c r="AC54">
        <f ca="1">IF(AND($B$74=1,LEN($AC$15) * LEN($AC$18)&gt;0),$AC$15+$AC$18,HLOOKUP(INDIRECT(ADDRESS(2,COLUMN())),OFFSET($AH$2,0,0,ROW()-1,28),ROW()-1,FALSE))</f>
        <v>11048400</v>
      </c>
      <c r="AD54">
        <f ca="1">IF(AND($B$74=1,LEN($AD$15) * LEN($AD$18)&gt;0),$AD$15+$AD$18,HLOOKUP(INDIRECT(ADDRESS(2,COLUMN())),OFFSET($AH$2,0,0,ROW()-1,28),ROW()-1,FALSE))</f>
        <v>10122290</v>
      </c>
      <c r="AE54">
        <f ca="1">IF(AND($B$74=1,LEN($AE$15) * LEN($AE$18)&gt;0),$AE$15+$AE$18,HLOOKUP(INDIRECT(ADDRESS(2,COLUMN())),OFFSET($AH$2,0,0,ROW()-1,28),ROW()-1,FALSE))</f>
        <v>9131150</v>
      </c>
      <c r="AF54">
        <f ca="1">IF(AND($B$74=1,LEN($AF$15) * LEN($AF$18)&gt;0),$AF$15+$AF$18,HLOOKUP(INDIRECT(ADDRESS(2,COLUMN())),OFFSET($AH$2,0,0,ROW()-1,28),ROW()-1,FALSE))</f>
        <v>8388070</v>
      </c>
      <c r="AG54">
        <f ca="1">IF(AND($B$74=1,LEN($AG$15) * LEN($AG$18)&gt;0),$AG$15+$AG$18,HLOOKUP(INDIRECT(ADDRESS(2,COLUMN())),OFFSET($AH$2,0,0,ROW()-1,28),ROW()-1,FALSE))</f>
        <v>7699140</v>
      </c>
      <c r="AH54">
        <f>22075840</f>
        <v>22075840</v>
      </c>
      <c r="AI54">
        <f>21097640</f>
        <v>21097640</v>
      </c>
      <c r="AJ54">
        <f>20150880</f>
        <v>20150880</v>
      </c>
      <c r="AK54">
        <f>19548480</f>
        <v>19548480</v>
      </c>
      <c r="AL54">
        <f>18107990</f>
        <v>18107990</v>
      </c>
      <c r="AM54">
        <f>17315390</f>
        <v>17315390</v>
      </c>
      <c r="AN54">
        <f>16060910</f>
        <v>16060910</v>
      </c>
      <c r="AO54">
        <f>16443140</f>
        <v>16443140</v>
      </c>
      <c r="AP54">
        <f>20357360</f>
        <v>20357360</v>
      </c>
      <c r="AQ54">
        <f>19660920</f>
        <v>19660920</v>
      </c>
      <c r="AR54">
        <f>17823690</f>
        <v>17823690</v>
      </c>
      <c r="AS54">
        <f>15361140</f>
        <v>15361140</v>
      </c>
      <c r="AT54">
        <f>15846370</f>
        <v>15846370</v>
      </c>
      <c r="AU54">
        <f>14568500</f>
        <v>14568500</v>
      </c>
      <c r="AV54">
        <f>12877700</f>
        <v>12877700</v>
      </c>
      <c r="AW54">
        <f>14203910</f>
        <v>14203910</v>
      </c>
      <c r="AX54">
        <f>13911140</f>
        <v>13911140</v>
      </c>
      <c r="AY54">
        <f>12911950</f>
        <v>12911950</v>
      </c>
      <c r="AZ54">
        <f>11738470</f>
        <v>11738470</v>
      </c>
      <c r="BA54">
        <f>11366320</f>
        <v>11366320</v>
      </c>
      <c r="BB54">
        <f>10930990</f>
        <v>10930990</v>
      </c>
      <c r="BC54">
        <f>11405980</f>
        <v>11405980</v>
      </c>
      <c r="BD54">
        <f>11037520</f>
        <v>11037520</v>
      </c>
      <c r="BE54">
        <f>11048400</f>
        <v>11048400</v>
      </c>
      <c r="BF54">
        <f>10122290</f>
        <v>10122290</v>
      </c>
      <c r="BG54">
        <f>9131150</f>
        <v>9131150</v>
      </c>
      <c r="BH54">
        <f>8388070</f>
        <v>8388070</v>
      </c>
      <c r="BI54">
        <f>7699140</f>
        <v>7699140</v>
      </c>
    </row>
    <row r="55" spans="1:61" x14ac:dyDescent="0.25">
      <c r="A55" t="str">
        <f>"        ETFs"</f>
        <v xml:space="preserve">        ETFs</v>
      </c>
      <c r="B55" t="str">
        <f>""</f>
        <v/>
      </c>
      <c r="E55" t="str">
        <f>"Expression"</f>
        <v>Expression</v>
      </c>
      <c r="F55">
        <f ca="1">IF(AND($B$74=1,LEN($F$16) * LEN($F$19)&gt;0),$F$16+$F$19,HLOOKUP(INDIRECT(ADDRESS(2,COLUMN())),OFFSET($AH$2,0,0,ROW()-1,28),ROW()-1,FALSE))</f>
        <v>13008860</v>
      </c>
      <c r="G55">
        <f ca="1">IF(AND($B$74=1,LEN($G$16) * LEN($G$19)&gt;0),$G$16+$G$19,HLOOKUP(INDIRECT(ADDRESS(2,COLUMN())),OFFSET($AH$2,0,0,ROW()-1,28),ROW()-1,FALSE))</f>
        <v>11540060</v>
      </c>
      <c r="H55">
        <f ca="1">IF(AND($B$74=1,LEN($H$16) * LEN($H$19)&gt;0),$H$16+$H$19,HLOOKUP(INDIRECT(ADDRESS(2,COLUMN())),OFFSET($AH$2,0,0,ROW()-1,28),ROW()-1,FALSE))</f>
        <v>10429720</v>
      </c>
      <c r="I55">
        <f ca="1">IF(AND($B$74=1,LEN($I$16) * LEN($I$19)&gt;0),$I$16+$I$19,HLOOKUP(INDIRECT(ADDRESS(2,COLUMN())),OFFSET($AH$2,0,0,ROW()-1,28),ROW()-1,FALSE))</f>
        <v>9287720</v>
      </c>
      <c r="J55">
        <f ca="1">IF(AND($B$74=1,LEN($J$16) * LEN($J$19)&gt;0),$J$16+$J$19,HLOOKUP(INDIRECT(ADDRESS(2,COLUMN())),OFFSET($AH$2,0,0,ROW()-1,28),ROW()-1,FALSE))</f>
        <v>8147610</v>
      </c>
      <c r="K55">
        <f ca="1">IF(AND($B$74=1,LEN($K$16) * LEN($K$19)&gt;0),$K$16+$K$19,HLOOKUP(INDIRECT(ADDRESS(2,COLUMN())),OFFSET($AH$2,0,0,ROW()-1,28),ROW()-1,FALSE))</f>
        <v>7359910</v>
      </c>
      <c r="L55">
        <f ca="1">IF(AND($B$74=1,LEN($L$16) * LEN($L$19)&gt;0),$L$16+$L$19,HLOOKUP(INDIRECT(ADDRESS(2,COLUMN())),OFFSET($AH$2,0,0,ROW()-1,28),ROW()-1,FALSE))</f>
        <v>6581990</v>
      </c>
      <c r="M55">
        <f ca="1">IF(AND($B$74=1,LEN($M$16) * LEN($M$19)&gt;0),$M$16+$M$19,HLOOKUP(INDIRECT(ADDRESS(2,COLUMN())),OFFSET($AH$2,0,0,ROW()-1,28),ROW()-1,FALSE))</f>
        <v>6276360</v>
      </c>
      <c r="N55">
        <f ca="1">IF(AND($B$74=1,LEN($N$16) * LEN($N$19)&gt;0),$N$16+$N$19,HLOOKUP(INDIRECT(ADDRESS(2,COLUMN())),OFFSET($AH$2,0,0,ROW()-1,28),ROW()-1,FALSE))</f>
        <v>7235240</v>
      </c>
      <c r="O55">
        <f ca="1">IF(AND($B$74=1,LEN($O$16) * LEN($O$19)&gt;0),$O$16+$O$19,HLOOKUP(INDIRECT(ADDRESS(2,COLUMN())),OFFSET($AH$2,0,0,ROW()-1,28),ROW()-1,FALSE))</f>
        <v>6595680</v>
      </c>
      <c r="P55">
        <f ca="1">IF(AND($B$74=1,LEN($P$16) * LEN($P$19)&gt;0),$P$16+$P$19,HLOOKUP(INDIRECT(ADDRESS(2,COLUMN())),OFFSET($AH$2,0,0,ROW()-1,28),ROW()-1,FALSE))</f>
        <v>5585010</v>
      </c>
      <c r="Q55">
        <f ca="1">IF(AND($B$74=1,LEN($Q$16) * LEN($Q$19)&gt;0),$Q$16+$Q$19,HLOOKUP(INDIRECT(ADDRESS(2,COLUMN())),OFFSET($AH$2,0,0,ROW()-1,28),ROW()-1,FALSE))</f>
        <v>4466990</v>
      </c>
      <c r="R55">
        <f ca="1">IF(AND($B$74=1,LEN($R$16) * LEN($R$19)&gt;0),$R$16+$R$19,HLOOKUP(INDIRECT(ADDRESS(2,COLUMN())),OFFSET($AH$2,0,0,ROW()-1,28),ROW()-1,FALSE))</f>
        <v>4493760</v>
      </c>
      <c r="S55">
        <f ca="1">IF(AND($B$74=1,LEN($S$16) * LEN($S$19)&gt;0),$S$16+$S$19,HLOOKUP(INDIRECT(ADDRESS(2,COLUMN())),OFFSET($AH$2,0,0,ROW()-1,28),ROW()-1,FALSE))</f>
        <v>4022180</v>
      </c>
      <c r="T55">
        <f ca="1">IF(AND($B$74=1,LEN($T$16) * LEN($T$19)&gt;0),$T$16+$T$19,HLOOKUP(INDIRECT(ADDRESS(2,COLUMN())),OFFSET($AH$2,0,0,ROW()-1,28),ROW()-1,FALSE))</f>
        <v>3453990</v>
      </c>
      <c r="U55">
        <f ca="1">IF(AND($B$74=1,LEN($U$16) * LEN($U$19)&gt;0),$U$16+$U$19,HLOOKUP(INDIRECT(ADDRESS(2,COLUMN())),OFFSET($AH$2,0,0,ROW()-1,28),ROW()-1,FALSE))</f>
        <v>3603890</v>
      </c>
      <c r="V55">
        <f ca="1">IF(AND($B$74=1,LEN($V$16) * LEN($V$19)&gt;0),$V$16+$V$19,HLOOKUP(INDIRECT(ADDRESS(2,COLUMN())),OFFSET($AH$2,0,0,ROW()-1,28),ROW()-1,FALSE))</f>
        <v>3498790</v>
      </c>
      <c r="W55">
        <f ca="1">IF(AND($B$74=1,LEN($W$16) * LEN($W$19)&gt;0),$W$16+$W$19,HLOOKUP(INDIRECT(ADDRESS(2,COLUMN())),OFFSET($AH$2,0,0,ROW()-1,28),ROW()-1,FALSE))</f>
        <v>3003540</v>
      </c>
      <c r="X55">
        <f ca="1">IF(AND($B$74=1,LEN($X$16) * LEN($X$19)&gt;0),$X$16+$X$19,HLOOKUP(INDIRECT(ADDRESS(2,COLUMN())),OFFSET($AH$2,0,0,ROW()-1,28),ROW()-1,FALSE))</f>
        <v>2585650</v>
      </c>
      <c r="Y55">
        <f ca="1">IF(AND($B$74=1,LEN($Y$16) * LEN($Y$19)&gt;0),$Y$16+$Y$19,HLOOKUP(INDIRECT(ADDRESS(2,COLUMN())),OFFSET($AH$2,0,0,ROW()-1,28),ROW()-1,FALSE))</f>
        <v>2274350</v>
      </c>
      <c r="Z55">
        <f ca="1">IF(AND($B$74=1,LEN($Z$16) * LEN($Z$19)&gt;0),$Z$16+$Z$19,HLOOKUP(INDIRECT(ADDRESS(2,COLUMN())),OFFSET($AH$2,0,0,ROW()-1,28),ROW()-1,FALSE))</f>
        <v>2098050</v>
      </c>
      <c r="AA55">
        <f ca="1">IF(AND($B$74=1,LEN($AA$16) * LEN($AA$19)&gt;0),$AA$16+$AA$19,HLOOKUP(INDIRECT(ADDRESS(2,COLUMN())),OFFSET($AH$2,0,0,ROW()-1,28),ROW()-1,FALSE))</f>
        <v>2137970</v>
      </c>
      <c r="AB55">
        <f ca="1">IF(AND($B$74=1,LEN($AB$16) * LEN($AB$19)&gt;0),$AB$16+$AB$19,HLOOKUP(INDIRECT(ADDRESS(2,COLUMN())),OFFSET($AH$2,0,0,ROW()-1,28),ROW()-1,FALSE))</f>
        <v>1982250</v>
      </c>
      <c r="AC55">
        <f ca="1">IF(AND($B$74=1,LEN($AC$16) * LEN($AC$19)&gt;0),$AC$16+$AC$19,HLOOKUP(INDIRECT(ADDRESS(2,COLUMN())),OFFSET($AH$2,0,0,ROW()-1,28),ROW()-1,FALSE))</f>
        <v>1854200</v>
      </c>
      <c r="AD55">
        <f ca="1">IF(AND($B$74=1,LEN($AD$16) * LEN($AD$19)&gt;0),$AD$16+$AD$19,HLOOKUP(INDIRECT(ADDRESS(2,COLUMN())),OFFSET($AH$2,0,0,ROW()-1,28),ROW()-1,FALSE))</f>
        <v>1683580</v>
      </c>
      <c r="AE55">
        <f ca="1">IF(AND($B$74=1,LEN($AE$16) * LEN($AE$19)&gt;0),$AE$16+$AE$19,HLOOKUP(INDIRECT(ADDRESS(2,COLUMN())),OFFSET($AH$2,0,0,ROW()-1,28),ROW()-1,FALSE))</f>
        <v>1451570</v>
      </c>
      <c r="AF55">
        <f ca="1">IF(AND($B$74=1,LEN($AF$16) * LEN($AF$19)&gt;0),$AF$16+$AF$19,HLOOKUP(INDIRECT(ADDRESS(2,COLUMN())),OFFSET($AH$2,0,0,ROW()-1,28),ROW()-1,FALSE))</f>
        <v>1321430</v>
      </c>
      <c r="AG55">
        <f ca="1">IF(AND($B$74=1,LEN($AG$16) * LEN($AG$19)&gt;0),$AG$16+$AG$19,HLOOKUP(INDIRECT(ADDRESS(2,COLUMN())),OFFSET($AH$2,0,0,ROW()-1,28),ROW()-1,FALSE))</f>
        <v>1172660</v>
      </c>
      <c r="AH55">
        <f>13008860</f>
        <v>13008860</v>
      </c>
      <c r="AI55">
        <f>11540060</f>
        <v>11540060</v>
      </c>
      <c r="AJ55">
        <f>10429720</f>
        <v>10429720</v>
      </c>
      <c r="AK55">
        <f>9287720</f>
        <v>9287720</v>
      </c>
      <c r="AL55">
        <f>8147610</f>
        <v>8147610</v>
      </c>
      <c r="AM55">
        <f>7359910</f>
        <v>7359910</v>
      </c>
      <c r="AN55">
        <f>6581990</f>
        <v>6581990</v>
      </c>
      <c r="AO55">
        <f>6276360</f>
        <v>6276360</v>
      </c>
      <c r="AP55">
        <f>7235240</f>
        <v>7235240</v>
      </c>
      <c r="AQ55">
        <f>6595680</f>
        <v>6595680</v>
      </c>
      <c r="AR55">
        <f>5585010</f>
        <v>5585010</v>
      </c>
      <c r="AS55">
        <f>4466990</f>
        <v>4466990</v>
      </c>
      <c r="AT55">
        <f>4493760</f>
        <v>4493760</v>
      </c>
      <c r="AU55">
        <f>4022180</f>
        <v>4022180</v>
      </c>
      <c r="AV55">
        <f>3453990</f>
        <v>3453990</v>
      </c>
      <c r="AW55">
        <f>3603890</f>
        <v>3603890</v>
      </c>
      <c r="AX55">
        <f>3498790</f>
        <v>3498790</v>
      </c>
      <c r="AY55">
        <f>3003540</f>
        <v>3003540</v>
      </c>
      <c r="AZ55">
        <f>2585650</f>
        <v>2585650</v>
      </c>
      <c r="BA55">
        <f>2274350</f>
        <v>2274350</v>
      </c>
      <c r="BB55">
        <f>2098050</f>
        <v>2098050</v>
      </c>
      <c r="BC55">
        <f>2137970</f>
        <v>2137970</v>
      </c>
      <c r="BD55">
        <f>1982250</f>
        <v>1982250</v>
      </c>
      <c r="BE55">
        <f>1854200</f>
        <v>1854200</v>
      </c>
      <c r="BF55">
        <f>1683580</f>
        <v>1683580</v>
      </c>
      <c r="BG55">
        <f>1451570</f>
        <v>1451570</v>
      </c>
      <c r="BH55">
        <f>1321430</f>
        <v>1321430</v>
      </c>
      <c r="BI55">
        <f>1172660</f>
        <v>1172660</v>
      </c>
    </row>
    <row r="56" spans="1:61" x14ac:dyDescent="0.25">
      <c r="A56" t="str">
        <f>"US Listed ETFs &amp; Mutual Funds"</f>
        <v>US Listed ETFs &amp; Mutual Funds</v>
      </c>
      <c r="B56" t="str">
        <f>""</f>
        <v/>
      </c>
      <c r="E56" t="str">
        <f>"Heading"</f>
        <v>Heading</v>
      </c>
      <c r="AH56" t="str">
        <f>""</f>
        <v/>
      </c>
      <c r="AI56" t="str">
        <f>""</f>
        <v/>
      </c>
      <c r="AJ56" t="str">
        <f>""</f>
        <v/>
      </c>
      <c r="AK56" t="str">
        <f>""</f>
        <v/>
      </c>
      <c r="AL56" t="str">
        <f>""</f>
        <v/>
      </c>
      <c r="AM56" t="str">
        <f>""</f>
        <v/>
      </c>
      <c r="AN56" t="str">
        <f>""</f>
        <v/>
      </c>
      <c r="AO56" t="str">
        <f>""</f>
        <v/>
      </c>
      <c r="AP56" t="str">
        <f>""</f>
        <v/>
      </c>
      <c r="AQ56" t="str">
        <f>""</f>
        <v/>
      </c>
      <c r="AR56" t="str">
        <f>""</f>
        <v/>
      </c>
      <c r="AS56" t="str">
        <f>""</f>
        <v/>
      </c>
      <c r="AT56" t="str">
        <f>""</f>
        <v/>
      </c>
      <c r="AU56" t="str">
        <f>""</f>
        <v/>
      </c>
      <c r="AV56" t="str">
        <f>""</f>
        <v/>
      </c>
      <c r="AW56" t="str">
        <f>""</f>
        <v/>
      </c>
      <c r="AX56" t="str">
        <f>""</f>
        <v/>
      </c>
      <c r="AY56" t="str">
        <f>""</f>
        <v/>
      </c>
      <c r="AZ56" t="str">
        <f>""</f>
        <v/>
      </c>
      <c r="BA56" t="str">
        <f>""</f>
        <v/>
      </c>
      <c r="BB56" t="str">
        <f>""</f>
        <v/>
      </c>
      <c r="BC56" t="str">
        <f>""</f>
        <v/>
      </c>
      <c r="BD56" t="str">
        <f>""</f>
        <v/>
      </c>
      <c r="BE56" t="str">
        <f>""</f>
        <v/>
      </c>
      <c r="BF56" t="str">
        <f>""</f>
        <v/>
      </c>
      <c r="BG56" t="str">
        <f>""</f>
        <v/>
      </c>
      <c r="BH56" t="str">
        <f>""</f>
        <v/>
      </c>
      <c r="BI56" t="str">
        <f>""</f>
        <v/>
      </c>
    </row>
    <row r="57" spans="1:61" x14ac:dyDescent="0.25">
      <c r="A57" t="str">
        <f>"Data is based on estimates from sample of over 10,000  funds"</f>
        <v>Data is based on estimates from sample of over 10,000  funds</v>
      </c>
      <c r="B57" t="str">
        <f>""</f>
        <v/>
      </c>
      <c r="E57" t="str">
        <f>"Heading"</f>
        <v>Heading</v>
      </c>
      <c r="AH57" t="str">
        <f>""</f>
        <v/>
      </c>
      <c r="AI57" t="str">
        <f>""</f>
        <v/>
      </c>
      <c r="AJ57" t="str">
        <f>""</f>
        <v/>
      </c>
      <c r="AK57" t="str">
        <f>""</f>
        <v/>
      </c>
      <c r="AL57" t="str">
        <f>""</f>
        <v/>
      </c>
      <c r="AM57" t="str">
        <f>""</f>
        <v/>
      </c>
      <c r="AN57" t="str">
        <f>""</f>
        <v/>
      </c>
      <c r="AO57" t="str">
        <f>""</f>
        <v/>
      </c>
      <c r="AP57" t="str">
        <f>""</f>
        <v/>
      </c>
      <c r="AQ57" t="str">
        <f>""</f>
        <v/>
      </c>
      <c r="AR57" t="str">
        <f>""</f>
        <v/>
      </c>
      <c r="AS57" t="str">
        <f>""</f>
        <v/>
      </c>
      <c r="AT57" t="str">
        <f>""</f>
        <v/>
      </c>
      <c r="AU57" t="str">
        <f>""</f>
        <v/>
      </c>
      <c r="AV57" t="str">
        <f>""</f>
        <v/>
      </c>
      <c r="AW57" t="str">
        <f>""</f>
        <v/>
      </c>
      <c r="AX57" t="str">
        <f>""</f>
        <v/>
      </c>
      <c r="AY57" t="str">
        <f>""</f>
        <v/>
      </c>
      <c r="AZ57" t="str">
        <f>""</f>
        <v/>
      </c>
      <c r="BA57" t="str">
        <f>""</f>
        <v/>
      </c>
      <c r="BB57" t="str">
        <f>""</f>
        <v/>
      </c>
      <c r="BC57" t="str">
        <f>""</f>
        <v/>
      </c>
      <c r="BD57" t="str">
        <f>""</f>
        <v/>
      </c>
      <c r="BE57" t="str">
        <f>""</f>
        <v/>
      </c>
      <c r="BF57" t="str">
        <f>""</f>
        <v/>
      </c>
      <c r="BG57" t="str">
        <f>""</f>
        <v/>
      </c>
      <c r="BH57" t="str">
        <f>""</f>
        <v/>
      </c>
      <c r="BI57" t="str">
        <f>""</f>
        <v/>
      </c>
    </row>
    <row r="58" spans="1:61" x14ac:dyDescent="0.25">
      <c r="A58" t="str">
        <f>"Source: BI &amp; BBG Funds Database"</f>
        <v>Source: BI &amp; BBG Funds Database</v>
      </c>
      <c r="B58" t="str">
        <f>""</f>
        <v/>
      </c>
      <c r="E58" t="str">
        <f>"Heading"</f>
        <v>Heading</v>
      </c>
      <c r="AH58" t="str">
        <f>""</f>
        <v/>
      </c>
      <c r="AI58" t="str">
        <f>""</f>
        <v/>
      </c>
      <c r="AJ58" t="str">
        <f>""</f>
        <v/>
      </c>
      <c r="AK58" t="str">
        <f>""</f>
        <v/>
      </c>
      <c r="AL58" t="str">
        <f>""</f>
        <v/>
      </c>
      <c r="AM58" t="str">
        <f>""</f>
        <v/>
      </c>
      <c r="AN58" t="str">
        <f>""</f>
        <v/>
      </c>
      <c r="AO58" t="str">
        <f>""</f>
        <v/>
      </c>
      <c r="AP58" t="str">
        <f>""</f>
        <v/>
      </c>
      <c r="AQ58" t="str">
        <f>""</f>
        <v/>
      </c>
      <c r="AR58" t="str">
        <f>""</f>
        <v/>
      </c>
      <c r="AS58" t="str">
        <f>""</f>
        <v/>
      </c>
      <c r="AT58" t="str">
        <f>""</f>
        <v/>
      </c>
      <c r="AU58" t="str">
        <f>""</f>
        <v/>
      </c>
      <c r="AV58" t="str">
        <f>""</f>
        <v/>
      </c>
      <c r="AW58" t="str">
        <f>""</f>
        <v/>
      </c>
      <c r="AX58" t="str">
        <f>""</f>
        <v/>
      </c>
      <c r="AY58" t="str">
        <f>""</f>
        <v/>
      </c>
      <c r="AZ58" t="str">
        <f>""</f>
        <v/>
      </c>
      <c r="BA58" t="str">
        <f>""</f>
        <v/>
      </c>
      <c r="BB58" t="str">
        <f>""</f>
        <v/>
      </c>
      <c r="BC58" t="str">
        <f>""</f>
        <v/>
      </c>
      <c r="BD58" t="str">
        <f>""</f>
        <v/>
      </c>
      <c r="BE58" t="str">
        <f>""</f>
        <v/>
      </c>
      <c r="BF58" t="str">
        <f>""</f>
        <v/>
      </c>
      <c r="BG58" t="str">
        <f>""</f>
        <v/>
      </c>
      <c r="BH58" t="str">
        <f>""</f>
        <v/>
      </c>
      <c r="BI58" t="str">
        <f>""</f>
        <v/>
      </c>
    </row>
    <row r="59" spans="1:61" x14ac:dyDescent="0.25">
      <c r="AH59" t="str">
        <f>""</f>
        <v/>
      </c>
      <c r="AI59" t="str">
        <f>""</f>
        <v/>
      </c>
      <c r="AJ59" t="str">
        <f>""</f>
        <v/>
      </c>
      <c r="AK59" t="str">
        <f>""</f>
        <v/>
      </c>
      <c r="AL59" t="str">
        <f>""</f>
        <v/>
      </c>
      <c r="AM59" t="str">
        <f>""</f>
        <v/>
      </c>
      <c r="AN59" t="str">
        <f>""</f>
        <v/>
      </c>
      <c r="AO59" t="str">
        <f>""</f>
        <v/>
      </c>
      <c r="AP59" t="str">
        <f>""</f>
        <v/>
      </c>
      <c r="AQ59" t="str">
        <f>""</f>
        <v/>
      </c>
      <c r="AR59" t="str">
        <f>""</f>
        <v/>
      </c>
      <c r="AS59" t="str">
        <f>""</f>
        <v/>
      </c>
      <c r="AT59" t="str">
        <f>""</f>
        <v/>
      </c>
      <c r="AU59" t="str">
        <f>""</f>
        <v/>
      </c>
      <c r="AV59" t="str">
        <f>""</f>
        <v/>
      </c>
      <c r="AW59" t="str">
        <f>""</f>
        <v/>
      </c>
      <c r="AX59" t="str">
        <f>""</f>
        <v/>
      </c>
      <c r="AY59" t="str">
        <f>""</f>
        <v/>
      </c>
      <c r="AZ59" t="str">
        <f>""</f>
        <v/>
      </c>
      <c r="BA59" t="str">
        <f>""</f>
        <v/>
      </c>
      <c r="BB59" t="str">
        <f>""</f>
        <v/>
      </c>
      <c r="BC59" t="str">
        <f>""</f>
        <v/>
      </c>
      <c r="BD59" t="str">
        <f>""</f>
        <v/>
      </c>
      <c r="BE59" t="str">
        <f>""</f>
        <v/>
      </c>
      <c r="BF59" t="str">
        <f>""</f>
        <v/>
      </c>
      <c r="BG59" t="str">
        <f>""</f>
        <v/>
      </c>
      <c r="BH59" t="str">
        <f>""</f>
        <v/>
      </c>
      <c r="BI59" t="str">
        <f>""</f>
        <v/>
      </c>
    </row>
    <row r="60" spans="1:61" x14ac:dyDescent="0.25">
      <c r="AH60" t="str">
        <f>""</f>
        <v/>
      </c>
      <c r="AI60" t="str">
        <f>""</f>
        <v/>
      </c>
      <c r="AJ60" t="str">
        <f>""</f>
        <v/>
      </c>
      <c r="AK60" t="str">
        <f>""</f>
        <v/>
      </c>
      <c r="AL60" t="str">
        <f>""</f>
        <v/>
      </c>
      <c r="AM60" t="str">
        <f>""</f>
        <v/>
      </c>
      <c r="AN60" t="str">
        <f>""</f>
        <v/>
      </c>
      <c r="AO60" t="str">
        <f>""</f>
        <v/>
      </c>
      <c r="AP60" t="str">
        <f>""</f>
        <v/>
      </c>
      <c r="AQ60" t="str">
        <f>""</f>
        <v/>
      </c>
      <c r="AR60" t="str">
        <f>""</f>
        <v/>
      </c>
      <c r="AS60" t="str">
        <f>""</f>
        <v/>
      </c>
      <c r="AT60" t="str">
        <f>""</f>
        <v/>
      </c>
      <c r="AU60" t="str">
        <f>""</f>
        <v/>
      </c>
      <c r="AV60" t="str">
        <f>""</f>
        <v/>
      </c>
      <c r="AW60" t="str">
        <f>""</f>
        <v/>
      </c>
      <c r="AX60" t="str">
        <f>""</f>
        <v/>
      </c>
      <c r="AY60" t="str">
        <f>""</f>
        <v/>
      </c>
      <c r="AZ60" t="str">
        <f>""</f>
        <v/>
      </c>
      <c r="BA60" t="str">
        <f>""</f>
        <v/>
      </c>
      <c r="BB60" t="str">
        <f>""</f>
        <v/>
      </c>
      <c r="BC60" t="str">
        <f>""</f>
        <v/>
      </c>
      <c r="BD60" t="str">
        <f>""</f>
        <v/>
      </c>
      <c r="BE60" t="str">
        <f>""</f>
        <v/>
      </c>
      <c r="BF60" t="str">
        <f>""</f>
        <v/>
      </c>
      <c r="BG60" t="str">
        <f>""</f>
        <v/>
      </c>
      <c r="BH60" t="str">
        <f>""</f>
        <v/>
      </c>
      <c r="BI60" t="str">
        <f>""</f>
        <v/>
      </c>
    </row>
    <row r="61" spans="1:61" x14ac:dyDescent="0.25">
      <c r="AH61" t="str">
        <f>""</f>
        <v/>
      </c>
      <c r="AI61" t="str">
        <f>""</f>
        <v/>
      </c>
      <c r="AJ61" t="str">
        <f>""</f>
        <v/>
      </c>
      <c r="AK61" t="str">
        <f>""</f>
        <v/>
      </c>
      <c r="AL61" t="str">
        <f>""</f>
        <v/>
      </c>
      <c r="AM61" t="str">
        <f>""</f>
        <v/>
      </c>
      <c r="AN61" t="str">
        <f>""</f>
        <v/>
      </c>
      <c r="AO61" t="str">
        <f>""</f>
        <v/>
      </c>
      <c r="AP61" t="str">
        <f>""</f>
        <v/>
      </c>
      <c r="AQ61" t="str">
        <f>""</f>
        <v/>
      </c>
      <c r="AR61" t="str">
        <f>""</f>
        <v/>
      </c>
      <c r="AS61" t="str">
        <f>""</f>
        <v/>
      </c>
      <c r="AT61" t="str">
        <f>""</f>
        <v/>
      </c>
      <c r="AU61" t="str">
        <f>""</f>
        <v/>
      </c>
      <c r="AV61" t="str">
        <f>""</f>
        <v/>
      </c>
      <c r="AW61" t="str">
        <f>""</f>
        <v/>
      </c>
      <c r="AX61" t="str">
        <f>""</f>
        <v/>
      </c>
      <c r="AY61" t="str">
        <f>""</f>
        <v/>
      </c>
      <c r="AZ61" t="str">
        <f>""</f>
        <v/>
      </c>
      <c r="BA61" t="str">
        <f>""</f>
        <v/>
      </c>
      <c r="BB61" t="str">
        <f>""</f>
        <v/>
      </c>
      <c r="BC61" t="str">
        <f>""</f>
        <v/>
      </c>
      <c r="BD61" t="str">
        <f>""</f>
        <v/>
      </c>
      <c r="BE61" t="str">
        <f>""</f>
        <v/>
      </c>
      <c r="BF61" t="str">
        <f>""</f>
        <v/>
      </c>
      <c r="BG61" t="str">
        <f>""</f>
        <v/>
      </c>
      <c r="BH61" t="str">
        <f>""</f>
        <v/>
      </c>
      <c r="BI61" t="str">
        <f>""</f>
        <v/>
      </c>
    </row>
    <row r="62" spans="1:61" x14ac:dyDescent="0.25">
      <c r="AH62" t="str">
        <f>""</f>
        <v/>
      </c>
      <c r="AI62" t="str">
        <f>""</f>
        <v/>
      </c>
      <c r="AJ62" t="str">
        <f>""</f>
        <v/>
      </c>
      <c r="AK62" t="str">
        <f>""</f>
        <v/>
      </c>
      <c r="AL62" t="str">
        <f>""</f>
        <v/>
      </c>
      <c r="AM62" t="str">
        <f>""</f>
        <v/>
      </c>
      <c r="AN62" t="str">
        <f>""</f>
        <v/>
      </c>
      <c r="AO62" t="str">
        <f>""</f>
        <v/>
      </c>
      <c r="AP62" t="str">
        <f>""</f>
        <v/>
      </c>
      <c r="AQ62" t="str">
        <f>""</f>
        <v/>
      </c>
      <c r="AR62" t="str">
        <f>""</f>
        <v/>
      </c>
      <c r="AS62" t="str">
        <f>""</f>
        <v/>
      </c>
      <c r="AT62" t="str">
        <f>""</f>
        <v/>
      </c>
      <c r="AU62" t="str">
        <f>""</f>
        <v/>
      </c>
      <c r="AV62" t="str">
        <f>""</f>
        <v/>
      </c>
      <c r="AW62" t="str">
        <f>""</f>
        <v/>
      </c>
      <c r="AX62" t="str">
        <f>""</f>
        <v/>
      </c>
      <c r="AY62" t="str">
        <f>""</f>
        <v/>
      </c>
      <c r="AZ62" t="str">
        <f>""</f>
        <v/>
      </c>
      <c r="BA62" t="str">
        <f>""</f>
        <v/>
      </c>
      <c r="BB62" t="str">
        <f>""</f>
        <v/>
      </c>
      <c r="BC62" t="str">
        <f>""</f>
        <v/>
      </c>
      <c r="BD62" t="str">
        <f>""</f>
        <v/>
      </c>
      <c r="BE62" t="str">
        <f>""</f>
        <v/>
      </c>
      <c r="BF62" t="str">
        <f>""</f>
        <v/>
      </c>
      <c r="BG62" t="str">
        <f>""</f>
        <v/>
      </c>
      <c r="BH62" t="str">
        <f>""</f>
        <v/>
      </c>
      <c r="BI62" t="str">
        <f>""</f>
        <v/>
      </c>
    </row>
    <row r="63" spans="1:61" x14ac:dyDescent="0.25">
      <c r="AH63" t="str">
        <f>""</f>
        <v/>
      </c>
      <c r="AI63" t="str">
        <f>""</f>
        <v/>
      </c>
      <c r="AJ63" t="str">
        <f>""</f>
        <v/>
      </c>
      <c r="AK63" t="str">
        <f>""</f>
        <v/>
      </c>
      <c r="AL63" t="str">
        <f>""</f>
        <v/>
      </c>
      <c r="AM63" t="str">
        <f>""</f>
        <v/>
      </c>
      <c r="AN63" t="str">
        <f>""</f>
        <v/>
      </c>
      <c r="AO63" t="str">
        <f>""</f>
        <v/>
      </c>
      <c r="AP63" t="str">
        <f>""</f>
        <v/>
      </c>
      <c r="AQ63" t="str">
        <f>""</f>
        <v/>
      </c>
      <c r="AR63" t="str">
        <f>""</f>
        <v/>
      </c>
      <c r="AS63" t="str">
        <f>""</f>
        <v/>
      </c>
      <c r="AT63" t="str">
        <f>""</f>
        <v/>
      </c>
      <c r="AU63" t="str">
        <f>""</f>
        <v/>
      </c>
      <c r="AV63" t="str">
        <f>""</f>
        <v/>
      </c>
      <c r="AW63" t="str">
        <f>""</f>
        <v/>
      </c>
      <c r="AX63" t="str">
        <f>""</f>
        <v/>
      </c>
      <c r="AY63" t="str">
        <f>""</f>
        <v/>
      </c>
      <c r="AZ63" t="str">
        <f>""</f>
        <v/>
      </c>
      <c r="BA63" t="str">
        <f>""</f>
        <v/>
      </c>
      <c r="BB63" t="str">
        <f>""</f>
        <v/>
      </c>
      <c r="BC63" t="str">
        <f>""</f>
        <v/>
      </c>
      <c r="BD63" t="str">
        <f>""</f>
        <v/>
      </c>
      <c r="BE63" t="str">
        <f>""</f>
        <v/>
      </c>
      <c r="BF63" t="str">
        <f>""</f>
        <v/>
      </c>
      <c r="BG63" t="str">
        <f>""</f>
        <v/>
      </c>
      <c r="BH63" t="str">
        <f>""</f>
        <v/>
      </c>
      <c r="BI63" t="str">
        <f>""</f>
        <v/>
      </c>
    </row>
    <row r="64" spans="1:61" x14ac:dyDescent="0.25">
      <c r="AH64" t="str">
        <f>""</f>
        <v/>
      </c>
      <c r="AI64" t="str">
        <f>""</f>
        <v/>
      </c>
      <c r="AJ64" t="str">
        <f>""</f>
        <v/>
      </c>
      <c r="AK64" t="str">
        <f>""</f>
        <v/>
      </c>
      <c r="AL64" t="str">
        <f>""</f>
        <v/>
      </c>
      <c r="AM64" t="str">
        <f>""</f>
        <v/>
      </c>
      <c r="AN64" t="str">
        <f>""</f>
        <v/>
      </c>
      <c r="AO64" t="str">
        <f>""</f>
        <v/>
      </c>
      <c r="AP64" t="str">
        <f>""</f>
        <v/>
      </c>
      <c r="AQ64" t="str">
        <f>""</f>
        <v/>
      </c>
      <c r="AR64" t="str">
        <f>""</f>
        <v/>
      </c>
      <c r="AS64" t="str">
        <f>""</f>
        <v/>
      </c>
      <c r="AT64" t="str">
        <f>""</f>
        <v/>
      </c>
      <c r="AU64" t="str">
        <f>""</f>
        <v/>
      </c>
      <c r="AV64" t="str">
        <f>""</f>
        <v/>
      </c>
      <c r="AW64" t="str">
        <f>""</f>
        <v/>
      </c>
      <c r="AX64" t="str">
        <f>""</f>
        <v/>
      </c>
      <c r="AY64" t="str">
        <f>""</f>
        <v/>
      </c>
      <c r="AZ64" t="str">
        <f>""</f>
        <v/>
      </c>
      <c r="BA64" t="str">
        <f>""</f>
        <v/>
      </c>
      <c r="BB64" t="str">
        <f>""</f>
        <v/>
      </c>
      <c r="BC64" t="str">
        <f>""</f>
        <v/>
      </c>
      <c r="BD64" t="str">
        <f>""</f>
        <v/>
      </c>
      <c r="BE64" t="str">
        <f>""</f>
        <v/>
      </c>
      <c r="BF64" t="str">
        <f>""</f>
        <v/>
      </c>
      <c r="BG64" t="str">
        <f>""</f>
        <v/>
      </c>
      <c r="BH64" t="str">
        <f>""</f>
        <v/>
      </c>
      <c r="BI64" t="str">
        <f>""</f>
        <v/>
      </c>
    </row>
    <row r="65" spans="1:61" x14ac:dyDescent="0.25">
      <c r="AH65" t="str">
        <f>""</f>
        <v/>
      </c>
      <c r="AI65" t="str">
        <f>""</f>
        <v/>
      </c>
      <c r="AJ65" t="str">
        <f>""</f>
        <v/>
      </c>
      <c r="AK65" t="str">
        <f>""</f>
        <v/>
      </c>
      <c r="AL65" t="str">
        <f>""</f>
        <v/>
      </c>
      <c r="AM65" t="str">
        <f>""</f>
        <v/>
      </c>
      <c r="AN65" t="str">
        <f>""</f>
        <v/>
      </c>
      <c r="AO65" t="str">
        <f>""</f>
        <v/>
      </c>
      <c r="AP65" t="str">
        <f>""</f>
        <v/>
      </c>
      <c r="AQ65" t="str">
        <f>""</f>
        <v/>
      </c>
      <c r="AR65" t="str">
        <f>""</f>
        <v/>
      </c>
      <c r="AS65" t="str">
        <f>""</f>
        <v/>
      </c>
      <c r="AT65" t="str">
        <f>""</f>
        <v/>
      </c>
      <c r="AU65" t="str">
        <f>""</f>
        <v/>
      </c>
      <c r="AV65" t="str">
        <f>""</f>
        <v/>
      </c>
      <c r="AW65" t="str">
        <f>""</f>
        <v/>
      </c>
      <c r="AX65" t="str">
        <f>""</f>
        <v/>
      </c>
      <c r="AY65" t="str">
        <f>""</f>
        <v/>
      </c>
      <c r="AZ65" t="str">
        <f>""</f>
        <v/>
      </c>
      <c r="BA65" t="str">
        <f>""</f>
        <v/>
      </c>
      <c r="BB65" t="str">
        <f>""</f>
        <v/>
      </c>
      <c r="BC65" t="str">
        <f>""</f>
        <v/>
      </c>
      <c r="BD65" t="str">
        <f>""</f>
        <v/>
      </c>
      <c r="BE65" t="str">
        <f>""</f>
        <v/>
      </c>
      <c r="BF65" t="str">
        <f>""</f>
        <v/>
      </c>
      <c r="BG65" t="str">
        <f>""</f>
        <v/>
      </c>
      <c r="BH65" t="str">
        <f>""</f>
        <v/>
      </c>
      <c r="BI65" t="str">
        <f>""</f>
        <v/>
      </c>
    </row>
    <row r="66" spans="1:61" x14ac:dyDescent="0.25">
      <c r="A66" t="str">
        <f t="shared" ref="A66:AG66" si="0">"~~~~~~~~~~"</f>
        <v>~~~~~~~~~~</v>
      </c>
      <c r="B66" t="str">
        <f t="shared" si="0"/>
        <v>~~~~~~~~~~</v>
      </c>
      <c r="C66" t="str">
        <f t="shared" si="0"/>
        <v>~~~~~~~~~~</v>
      </c>
      <c r="D66" t="str">
        <f t="shared" si="0"/>
        <v>~~~~~~~~~~</v>
      </c>
      <c r="E66" t="str">
        <f t="shared" si="0"/>
        <v>~~~~~~~~~~</v>
      </c>
      <c r="F66" t="str">
        <f t="shared" si="0"/>
        <v>~~~~~~~~~~</v>
      </c>
      <c r="G66" t="str">
        <f t="shared" si="0"/>
        <v>~~~~~~~~~~</v>
      </c>
      <c r="H66" t="str">
        <f t="shared" si="0"/>
        <v>~~~~~~~~~~</v>
      </c>
      <c r="I66" t="str">
        <f t="shared" si="0"/>
        <v>~~~~~~~~~~</v>
      </c>
      <c r="J66" t="str">
        <f t="shared" si="0"/>
        <v>~~~~~~~~~~</v>
      </c>
      <c r="K66" t="str">
        <f t="shared" si="0"/>
        <v>~~~~~~~~~~</v>
      </c>
      <c r="L66" t="str">
        <f t="shared" si="0"/>
        <v>~~~~~~~~~~</v>
      </c>
      <c r="M66" t="str">
        <f t="shared" si="0"/>
        <v>~~~~~~~~~~</v>
      </c>
      <c r="N66" t="str">
        <f t="shared" si="0"/>
        <v>~~~~~~~~~~</v>
      </c>
      <c r="O66" t="str">
        <f t="shared" si="0"/>
        <v>~~~~~~~~~~</v>
      </c>
      <c r="P66" t="str">
        <f t="shared" si="0"/>
        <v>~~~~~~~~~~</v>
      </c>
      <c r="Q66" t="str">
        <f t="shared" si="0"/>
        <v>~~~~~~~~~~</v>
      </c>
      <c r="R66" t="str">
        <f t="shared" si="0"/>
        <v>~~~~~~~~~~</v>
      </c>
      <c r="S66" t="str">
        <f t="shared" si="0"/>
        <v>~~~~~~~~~~</v>
      </c>
      <c r="T66" t="str">
        <f t="shared" si="0"/>
        <v>~~~~~~~~~~</v>
      </c>
      <c r="U66" t="str">
        <f t="shared" si="0"/>
        <v>~~~~~~~~~~</v>
      </c>
      <c r="V66" t="str">
        <f t="shared" si="0"/>
        <v>~~~~~~~~~~</v>
      </c>
      <c r="W66" t="str">
        <f t="shared" si="0"/>
        <v>~~~~~~~~~~</v>
      </c>
      <c r="X66" t="str">
        <f t="shared" si="0"/>
        <v>~~~~~~~~~~</v>
      </c>
      <c r="Y66" t="str">
        <f t="shared" si="0"/>
        <v>~~~~~~~~~~</v>
      </c>
      <c r="Z66" t="str">
        <f t="shared" si="0"/>
        <v>~~~~~~~~~~</v>
      </c>
      <c r="AA66" t="str">
        <f t="shared" si="0"/>
        <v>~~~~~~~~~~</v>
      </c>
      <c r="AB66" t="str">
        <f t="shared" si="0"/>
        <v>~~~~~~~~~~</v>
      </c>
      <c r="AC66" t="str">
        <f t="shared" si="0"/>
        <v>~~~~~~~~~~</v>
      </c>
      <c r="AD66" t="str">
        <f t="shared" si="0"/>
        <v>~~~~~~~~~~</v>
      </c>
      <c r="AE66" t="str">
        <f t="shared" si="0"/>
        <v>~~~~~~~~~~</v>
      </c>
      <c r="AF66" t="str">
        <f t="shared" si="0"/>
        <v>~~~~~~~~~~</v>
      </c>
      <c r="AG66" t="str">
        <f t="shared" si="0"/>
        <v>~~~~~~~~~~</v>
      </c>
      <c r="AH66" t="str">
        <f>""</f>
        <v/>
      </c>
      <c r="AI66" t="str">
        <f>""</f>
        <v/>
      </c>
      <c r="AJ66" t="str">
        <f>""</f>
        <v/>
      </c>
      <c r="AK66" t="str">
        <f>""</f>
        <v/>
      </c>
      <c r="AL66" t="str">
        <f>""</f>
        <v/>
      </c>
      <c r="AM66" t="str">
        <f>""</f>
        <v/>
      </c>
      <c r="AN66" t="str">
        <f>""</f>
        <v/>
      </c>
      <c r="AO66" t="str">
        <f>""</f>
        <v/>
      </c>
      <c r="AP66" t="str">
        <f>""</f>
        <v/>
      </c>
      <c r="AQ66" t="str">
        <f>""</f>
        <v/>
      </c>
      <c r="AR66" t="str">
        <f>""</f>
        <v/>
      </c>
      <c r="AS66" t="str">
        <f>""</f>
        <v/>
      </c>
      <c r="AT66" t="str">
        <f>""</f>
        <v/>
      </c>
      <c r="AU66" t="str">
        <f>""</f>
        <v/>
      </c>
      <c r="AV66" t="str">
        <f>""</f>
        <v/>
      </c>
      <c r="AW66" t="str">
        <f>""</f>
        <v/>
      </c>
      <c r="AX66" t="str">
        <f>""</f>
        <v/>
      </c>
      <c r="AY66" t="str">
        <f>""</f>
        <v/>
      </c>
      <c r="AZ66" t="str">
        <f>""</f>
        <v/>
      </c>
      <c r="BA66" t="str">
        <f>""</f>
        <v/>
      </c>
      <c r="BB66" t="str">
        <f>""</f>
        <v/>
      </c>
      <c r="BC66" t="str">
        <f>""</f>
        <v/>
      </c>
      <c r="BD66" t="str">
        <f>""</f>
        <v/>
      </c>
      <c r="BE66" t="str">
        <f>""</f>
        <v/>
      </c>
      <c r="BF66" t="str">
        <f>""</f>
        <v/>
      </c>
      <c r="BG66" t="str">
        <f>""</f>
        <v/>
      </c>
      <c r="BH66" t="str">
        <f>""</f>
        <v/>
      </c>
      <c r="BI66" t="str">
        <f>""</f>
        <v/>
      </c>
    </row>
    <row r="67" spans="1:61" x14ac:dyDescent="0.25">
      <c r="A67" t="str">
        <f>"All rows below have been added for reference by formula rows above."</f>
        <v>All rows below have been added for reference by formula rows above.</v>
      </c>
      <c r="AH67" t="str">
        <f>""</f>
        <v/>
      </c>
      <c r="AI67" t="str">
        <f>""</f>
        <v/>
      </c>
      <c r="AJ67" t="str">
        <f>""</f>
        <v/>
      </c>
      <c r="AK67" t="str">
        <f>""</f>
        <v/>
      </c>
      <c r="AL67" t="str">
        <f>""</f>
        <v/>
      </c>
      <c r="AM67" t="str">
        <f>""</f>
        <v/>
      </c>
      <c r="AN67" t="str">
        <f>""</f>
        <v/>
      </c>
      <c r="AO67" t="str">
        <f>""</f>
        <v/>
      </c>
      <c r="AP67" t="str">
        <f>""</f>
        <v/>
      </c>
      <c r="AQ67" t="str">
        <f>""</f>
        <v/>
      </c>
      <c r="AR67" t="str">
        <f>""</f>
        <v/>
      </c>
      <c r="AS67" t="str">
        <f>""</f>
        <v/>
      </c>
      <c r="AT67" t="str">
        <f>""</f>
        <v/>
      </c>
      <c r="AU67" t="str">
        <f>""</f>
        <v/>
      </c>
      <c r="AV67" t="str">
        <f>""</f>
        <v/>
      </c>
      <c r="AW67" t="str">
        <f>""</f>
        <v/>
      </c>
      <c r="AX67" t="str">
        <f>""</f>
        <v/>
      </c>
      <c r="AY67" t="str">
        <f>""</f>
        <v/>
      </c>
      <c r="AZ67" t="str">
        <f>""</f>
        <v/>
      </c>
      <c r="BA67" t="str">
        <f>""</f>
        <v/>
      </c>
      <c r="BB67" t="str">
        <f>""</f>
        <v/>
      </c>
      <c r="BC67" t="str">
        <f>""</f>
        <v/>
      </c>
      <c r="BD67" t="str">
        <f>""</f>
        <v/>
      </c>
      <c r="BE67" t="str">
        <f>""</f>
        <v/>
      </c>
      <c r="BF67" t="str">
        <f>""</f>
        <v/>
      </c>
      <c r="BG67" t="str">
        <f>""</f>
        <v/>
      </c>
      <c r="BH67" t="str">
        <f>""</f>
        <v/>
      </c>
      <c r="BI67" t="str">
        <f>""</f>
        <v/>
      </c>
    </row>
    <row r="68" spans="1:61" x14ac:dyDescent="0.25">
      <c r="A68" t="e">
        <f>RTD("bloomberg.ccyreader", "", "#track", "DBG", "BIHITX", "1.0","RepeatHit")</f>
        <v>#N/A</v>
      </c>
      <c r="AH68" t="str">
        <f>""</f>
        <v/>
      </c>
      <c r="AI68" t="str">
        <f>""</f>
        <v/>
      </c>
      <c r="AJ68" t="str">
        <f>""</f>
        <v/>
      </c>
      <c r="AK68" t="str">
        <f>""</f>
        <v/>
      </c>
      <c r="AL68" t="str">
        <f>""</f>
        <v/>
      </c>
      <c r="AM68" t="str">
        <f>""</f>
        <v/>
      </c>
      <c r="AN68" t="str">
        <f>""</f>
        <v/>
      </c>
      <c r="AO68" t="str">
        <f>""</f>
        <v/>
      </c>
      <c r="AP68" t="str">
        <f>""</f>
        <v/>
      </c>
      <c r="AQ68" t="str">
        <f>""</f>
        <v/>
      </c>
      <c r="AR68" t="str">
        <f>""</f>
        <v/>
      </c>
      <c r="AS68" t="str">
        <f>""</f>
        <v/>
      </c>
      <c r="AT68" t="str">
        <f>""</f>
        <v/>
      </c>
      <c r="AU68" t="str">
        <f>""</f>
        <v/>
      </c>
      <c r="AV68" t="str">
        <f>""</f>
        <v/>
      </c>
      <c r="AW68" t="str">
        <f>""</f>
        <v/>
      </c>
      <c r="AX68" t="str">
        <f>""</f>
        <v/>
      </c>
      <c r="AY68" t="str">
        <f>""</f>
        <v/>
      </c>
      <c r="AZ68" t="str">
        <f>""</f>
        <v/>
      </c>
      <c r="BA68" t="str">
        <f>""</f>
        <v/>
      </c>
      <c r="BB68" t="str">
        <f>""</f>
        <v/>
      </c>
      <c r="BC68" t="str">
        <f>""</f>
        <v/>
      </c>
      <c r="BD68" t="str">
        <f>""</f>
        <v/>
      </c>
      <c r="BE68" t="str">
        <f>""</f>
        <v/>
      </c>
      <c r="BF68" t="str">
        <f>""</f>
        <v/>
      </c>
      <c r="BG68" t="str">
        <f>""</f>
        <v/>
      </c>
      <c r="BH68" t="str">
        <f>""</f>
        <v/>
      </c>
      <c r="BI68" t="str">
        <f>""</f>
        <v/>
      </c>
    </row>
    <row r="69" spans="1:61" x14ac:dyDescent="0.25">
      <c r="A69" t="str">
        <f>"Currency"</f>
        <v>Currency</v>
      </c>
      <c r="B69" t="str">
        <f>"USD"</f>
        <v>USD</v>
      </c>
      <c r="AH69" t="str">
        <f>""</f>
        <v/>
      </c>
      <c r="AI69" t="str">
        <f>""</f>
        <v/>
      </c>
      <c r="AJ69" t="str">
        <f>""</f>
        <v/>
      </c>
      <c r="AK69" t="str">
        <f>""</f>
        <v/>
      </c>
      <c r="AL69" t="str">
        <f>""</f>
        <v/>
      </c>
      <c r="AM69" t="str">
        <f>""</f>
        <v/>
      </c>
      <c r="AN69" t="str">
        <f>""</f>
        <v/>
      </c>
      <c r="AO69" t="str">
        <f>""</f>
        <v/>
      </c>
      <c r="AP69" t="str">
        <f>""</f>
        <v/>
      </c>
      <c r="AQ69" t="str">
        <f>""</f>
        <v/>
      </c>
      <c r="AR69" t="str">
        <f>""</f>
        <v/>
      </c>
      <c r="AS69" t="str">
        <f>""</f>
        <v/>
      </c>
      <c r="AT69" t="str">
        <f>""</f>
        <v/>
      </c>
      <c r="AU69" t="str">
        <f>""</f>
        <v/>
      </c>
      <c r="AV69" t="str">
        <f>""</f>
        <v/>
      </c>
      <c r="AW69" t="str">
        <f>""</f>
        <v/>
      </c>
      <c r="AX69" t="str">
        <f>""</f>
        <v/>
      </c>
      <c r="AY69" t="str">
        <f>""</f>
        <v/>
      </c>
      <c r="AZ69" t="str">
        <f>""</f>
        <v/>
      </c>
      <c r="BA69" t="str">
        <f>""</f>
        <v/>
      </c>
      <c r="BB69" t="str">
        <f>""</f>
        <v/>
      </c>
      <c r="BC69" t="str">
        <f>""</f>
        <v/>
      </c>
      <c r="BD69" t="str">
        <f>""</f>
        <v/>
      </c>
      <c r="BE69" t="str">
        <f>""</f>
        <v/>
      </c>
      <c r="BF69" t="str">
        <f>""</f>
        <v/>
      </c>
      <c r="BG69" t="str">
        <f>""</f>
        <v/>
      </c>
      <c r="BH69" t="str">
        <f>""</f>
        <v/>
      </c>
      <c r="BI69" t="str">
        <f>""</f>
        <v/>
      </c>
    </row>
    <row r="70" spans="1:61" x14ac:dyDescent="0.25">
      <c r="A70" t="str">
        <f>"Periodicity"</f>
        <v>Periodicity</v>
      </c>
      <c r="B70" t="str">
        <f>"CS"</f>
        <v>CS</v>
      </c>
      <c r="C70" t="str">
        <f>"AS"</f>
        <v>AS</v>
      </c>
      <c r="AH70" t="str">
        <f>""</f>
        <v/>
      </c>
      <c r="AI70" t="str">
        <f>""</f>
        <v/>
      </c>
      <c r="AJ70" t="str">
        <f>""</f>
        <v/>
      </c>
      <c r="AK70" t="str">
        <f>""</f>
        <v/>
      </c>
      <c r="AL70" t="str">
        <f>""</f>
        <v/>
      </c>
      <c r="AM70" t="str">
        <f>""</f>
        <v/>
      </c>
      <c r="AN70" t="str">
        <f>""</f>
        <v/>
      </c>
      <c r="AO70" t="str">
        <f>""</f>
        <v/>
      </c>
      <c r="AP70" t="str">
        <f>""</f>
        <v/>
      </c>
      <c r="AQ70" t="str">
        <f>""</f>
        <v/>
      </c>
      <c r="AR70" t="str">
        <f>""</f>
        <v/>
      </c>
      <c r="AS70" t="str">
        <f>""</f>
        <v/>
      </c>
      <c r="AT70" t="str">
        <f>""</f>
        <v/>
      </c>
      <c r="AU70" t="str">
        <f>""</f>
        <v/>
      </c>
      <c r="AV70" t="str">
        <f>""</f>
        <v/>
      </c>
      <c r="AW70" t="str">
        <f>""</f>
        <v/>
      </c>
      <c r="AX70" t="str">
        <f>""</f>
        <v/>
      </c>
      <c r="AY70" t="str">
        <f>""</f>
        <v/>
      </c>
      <c r="AZ70" t="str">
        <f>""</f>
        <v/>
      </c>
      <c r="BA70" t="str">
        <f>""</f>
        <v/>
      </c>
      <c r="BB70" t="str">
        <f>""</f>
        <v/>
      </c>
      <c r="BC70" t="str">
        <f>""</f>
        <v/>
      </c>
      <c r="BD70" t="str">
        <f>""</f>
        <v/>
      </c>
      <c r="BE70" t="str">
        <f>""</f>
        <v/>
      </c>
      <c r="BF70" t="str">
        <f>""</f>
        <v/>
      </c>
      <c r="BG70" t="str">
        <f>""</f>
        <v/>
      </c>
      <c r="BH70" t="str">
        <f>""</f>
        <v/>
      </c>
      <c r="BI70" t="str">
        <f>""</f>
        <v/>
      </c>
    </row>
    <row r="71" spans="1:61" x14ac:dyDescent="0.25">
      <c r="A71" t="str">
        <f>"Number of Periods"</f>
        <v>Number of Periods</v>
      </c>
      <c r="B71">
        <f>28</f>
        <v>28</v>
      </c>
      <c r="AH71" t="str">
        <f>""</f>
        <v/>
      </c>
      <c r="AI71" t="str">
        <f>""</f>
        <v/>
      </c>
      <c r="AJ71" t="str">
        <f>""</f>
        <v/>
      </c>
      <c r="AK71" t="str">
        <f>""</f>
        <v/>
      </c>
      <c r="AL71" t="str">
        <f>""</f>
        <v/>
      </c>
      <c r="AM71" t="str">
        <f>""</f>
        <v/>
      </c>
      <c r="AN71" t="str">
        <f>""</f>
        <v/>
      </c>
      <c r="AO71" t="str">
        <f>""</f>
        <v/>
      </c>
      <c r="AP71" t="str">
        <f>""</f>
        <v/>
      </c>
      <c r="AQ71" t="str">
        <f>""</f>
        <v/>
      </c>
      <c r="AR71" t="str">
        <f>""</f>
        <v/>
      </c>
      <c r="AS71" t="str">
        <f>""</f>
        <v/>
      </c>
      <c r="AT71" t="str">
        <f>""</f>
        <v/>
      </c>
      <c r="AU71" t="str">
        <f>""</f>
        <v/>
      </c>
      <c r="AV71" t="str">
        <f>""</f>
        <v/>
      </c>
      <c r="AW71" t="str">
        <f>""</f>
        <v/>
      </c>
      <c r="AX71" t="str">
        <f>""</f>
        <v/>
      </c>
      <c r="AY71" t="str">
        <f>""</f>
        <v/>
      </c>
      <c r="AZ71" t="str">
        <f>""</f>
        <v/>
      </c>
      <c r="BA71" t="str">
        <f>""</f>
        <v/>
      </c>
      <c r="BB71" t="str">
        <f>""</f>
        <v/>
      </c>
      <c r="BC71" t="str">
        <f>""</f>
        <v/>
      </c>
      <c r="BD71" t="str">
        <f>""</f>
        <v/>
      </c>
      <c r="BE71" t="str">
        <f>""</f>
        <v/>
      </c>
      <c r="BF71" t="str">
        <f>""</f>
        <v/>
      </c>
      <c r="BG71" t="str">
        <f>""</f>
        <v/>
      </c>
      <c r="BH71" t="str">
        <f>""</f>
        <v/>
      </c>
      <c r="BI71" t="str">
        <f>""</f>
        <v/>
      </c>
    </row>
    <row r="72" spans="1:61" x14ac:dyDescent="0.25">
      <c r="A72" t="str">
        <f>"Start Date"</f>
        <v>Start Date</v>
      </c>
      <c r="B72" t="str">
        <f>CONCATENATE("-",$B$71,$B$70)</f>
        <v>-28CS</v>
      </c>
      <c r="C72" t="str">
        <f>CONCATENATE("-",$B$71,$C$70)</f>
        <v>-28AS</v>
      </c>
      <c r="AH72" t="str">
        <f>""</f>
        <v/>
      </c>
      <c r="AI72" t="str">
        <f>""</f>
        <v/>
      </c>
      <c r="AJ72" t="str">
        <f>""</f>
        <v/>
      </c>
      <c r="AK72" t="str">
        <f>""</f>
        <v/>
      </c>
      <c r="AL72" t="str">
        <f>""</f>
        <v/>
      </c>
      <c r="AM72" t="str">
        <f>""</f>
        <v/>
      </c>
      <c r="AN72" t="str">
        <f>""</f>
        <v/>
      </c>
      <c r="AO72" t="str">
        <f>""</f>
        <v/>
      </c>
      <c r="AP72" t="str">
        <f>""</f>
        <v/>
      </c>
      <c r="AQ72" t="str">
        <f>""</f>
        <v/>
      </c>
      <c r="AR72" t="str">
        <f>""</f>
        <v/>
      </c>
      <c r="AS72" t="str">
        <f>""</f>
        <v/>
      </c>
      <c r="AT72" t="str">
        <f>""</f>
        <v/>
      </c>
      <c r="AU72" t="str">
        <f>""</f>
        <v/>
      </c>
      <c r="AV72" t="str">
        <f>""</f>
        <v/>
      </c>
      <c r="AW72" t="str">
        <f>""</f>
        <v/>
      </c>
      <c r="AX72" t="str">
        <f>""</f>
        <v/>
      </c>
      <c r="AY72" t="str">
        <f>""</f>
        <v/>
      </c>
      <c r="AZ72" t="str">
        <f>""</f>
        <v/>
      </c>
      <c r="BA72" t="str">
        <f>""</f>
        <v/>
      </c>
      <c r="BB72" t="str">
        <f>""</f>
        <v/>
      </c>
      <c r="BC72" t="str">
        <f>""</f>
        <v/>
      </c>
      <c r="BD72" t="str">
        <f>""</f>
        <v/>
      </c>
      <c r="BE72" t="str">
        <f>""</f>
        <v/>
      </c>
      <c r="BF72" t="str">
        <f>""</f>
        <v/>
      </c>
      <c r="BG72" t="str">
        <f>""</f>
        <v/>
      </c>
      <c r="BH72" t="str">
        <f>""</f>
        <v/>
      </c>
      <c r="BI72" t="str">
        <f>""</f>
        <v/>
      </c>
    </row>
    <row r="73" spans="1:61" x14ac:dyDescent="0.25">
      <c r="A73" t="str">
        <f>"End Date"</f>
        <v>End Date</v>
      </c>
      <c r="B73">
        <f ca="1">TODAY()</f>
        <v>46066</v>
      </c>
      <c r="AH73" t="str">
        <f>""</f>
        <v/>
      </c>
      <c r="AI73" t="str">
        <f>""</f>
        <v/>
      </c>
      <c r="AJ73" t="str">
        <f>""</f>
        <v/>
      </c>
      <c r="AK73" t="str">
        <f>""</f>
        <v/>
      </c>
      <c r="AL73" t="str">
        <f>""</f>
        <v/>
      </c>
      <c r="AM73" t="str">
        <f>""</f>
        <v/>
      </c>
      <c r="AN73" t="str">
        <f>""</f>
        <v/>
      </c>
      <c r="AO73" t="str">
        <f>""</f>
        <v/>
      </c>
      <c r="AP73" t="str">
        <f>""</f>
        <v/>
      </c>
      <c r="AQ73" t="str">
        <f>""</f>
        <v/>
      </c>
      <c r="AR73" t="str">
        <f>""</f>
        <v/>
      </c>
      <c r="AS73" t="str">
        <f>""</f>
        <v/>
      </c>
      <c r="AT73" t="str">
        <f>""</f>
        <v/>
      </c>
      <c r="AU73" t="str">
        <f>""</f>
        <v/>
      </c>
      <c r="AV73" t="str">
        <f>""</f>
        <v/>
      </c>
      <c r="AW73" t="str">
        <f>""</f>
        <v/>
      </c>
      <c r="AX73" t="str">
        <f>""</f>
        <v/>
      </c>
      <c r="AY73" t="str">
        <f>""</f>
        <v/>
      </c>
      <c r="AZ73" t="str">
        <f>""</f>
        <v/>
      </c>
      <c r="BA73" t="str">
        <f>""</f>
        <v/>
      </c>
      <c r="BB73" t="str">
        <f>""</f>
        <v/>
      </c>
      <c r="BC73" t="str">
        <f>""</f>
        <v/>
      </c>
      <c r="BD73" t="str">
        <f>""</f>
        <v/>
      </c>
      <c r="BE73" t="str">
        <f>""</f>
        <v/>
      </c>
      <c r="BF73" t="str">
        <f>""</f>
        <v/>
      </c>
      <c r="BG73" t="str">
        <f>""</f>
        <v/>
      </c>
      <c r="BH73" t="str">
        <f>""</f>
        <v/>
      </c>
      <c r="BI73" t="str">
        <f>""</f>
        <v/>
      </c>
    </row>
    <row r="74" spans="1:61" x14ac:dyDescent="0.25">
      <c r="A74" t="str">
        <f>"HeaderStatus"</f>
        <v>HeaderStatus</v>
      </c>
      <c r="B74">
        <f ca="1">$B$118*$B$126</f>
        <v>4</v>
      </c>
      <c r="AH74" t="str">
        <f>""</f>
        <v/>
      </c>
      <c r="AI74" t="str">
        <f>""</f>
        <v/>
      </c>
      <c r="AJ74" t="str">
        <f>""</f>
        <v/>
      </c>
      <c r="AK74" t="str">
        <f>""</f>
        <v/>
      </c>
      <c r="AL74" t="str">
        <f>""</f>
        <v/>
      </c>
      <c r="AM74" t="str">
        <f>""</f>
        <v/>
      </c>
      <c r="AN74" t="str">
        <f>""</f>
        <v/>
      </c>
      <c r="AO74" t="str">
        <f>""</f>
        <v/>
      </c>
      <c r="AP74" t="str">
        <f>""</f>
        <v/>
      </c>
      <c r="AQ74" t="str">
        <f>""</f>
        <v/>
      </c>
      <c r="AR74" t="str">
        <f>""</f>
        <v/>
      </c>
      <c r="AS74" t="str">
        <f>""</f>
        <v/>
      </c>
      <c r="AT74" t="str">
        <f>""</f>
        <v/>
      </c>
      <c r="AU74" t="str">
        <f>""</f>
        <v/>
      </c>
      <c r="AV74" t="str">
        <f>""</f>
        <v/>
      </c>
      <c r="AW74" t="str">
        <f>""</f>
        <v/>
      </c>
      <c r="AX74" t="str">
        <f>""</f>
        <v/>
      </c>
      <c r="AY74" t="str">
        <f>""</f>
        <v/>
      </c>
      <c r="AZ74" t="str">
        <f>""</f>
        <v/>
      </c>
      <c r="BA74" t="str">
        <f>""</f>
        <v/>
      </c>
      <c r="BB74" t="str">
        <f>""</f>
        <v/>
      </c>
      <c r="BC74" t="str">
        <f>""</f>
        <v/>
      </c>
      <c r="BD74" t="str">
        <f>""</f>
        <v/>
      </c>
      <c r="BE74" t="str">
        <f>""</f>
        <v/>
      </c>
      <c r="BF74" t="str">
        <f>""</f>
        <v/>
      </c>
      <c r="BG74" t="str">
        <f>""</f>
        <v/>
      </c>
      <c r="BH74" t="str">
        <f>""</f>
        <v/>
      </c>
      <c r="BI74" t="str">
        <f>""</f>
        <v/>
      </c>
    </row>
    <row r="75" spans="1:61" x14ac:dyDescent="0.25">
      <c r="AH75" t="str">
        <f>""</f>
        <v/>
      </c>
      <c r="AI75" t="str">
        <f>""</f>
        <v/>
      </c>
      <c r="AJ75" t="str">
        <f>""</f>
        <v/>
      </c>
      <c r="AK75" t="str">
        <f>""</f>
        <v/>
      </c>
      <c r="AL75" t="str">
        <f>""</f>
        <v/>
      </c>
      <c r="AM75" t="str">
        <f>""</f>
        <v/>
      </c>
      <c r="AN75" t="str">
        <f>""</f>
        <v/>
      </c>
      <c r="AO75" t="str">
        <f>""</f>
        <v/>
      </c>
      <c r="AP75" t="str">
        <f>""</f>
        <v/>
      </c>
      <c r="AQ75" t="str">
        <f>""</f>
        <v/>
      </c>
      <c r="AR75" t="str">
        <f>""</f>
        <v/>
      </c>
      <c r="AS75" t="str">
        <f>""</f>
        <v/>
      </c>
      <c r="AT75" t="str">
        <f>""</f>
        <v/>
      </c>
      <c r="AU75" t="str">
        <f>""</f>
        <v/>
      </c>
      <c r="AV75" t="str">
        <f>""</f>
        <v/>
      </c>
      <c r="AW75" t="str">
        <f>""</f>
        <v/>
      </c>
      <c r="AX75" t="str">
        <f>""</f>
        <v/>
      </c>
      <c r="AY75" t="str">
        <f>""</f>
        <v/>
      </c>
      <c r="AZ75" t="str">
        <f>""</f>
        <v/>
      </c>
      <c r="BA75" t="str">
        <f>""</f>
        <v/>
      </c>
      <c r="BB75" t="str">
        <f>""</f>
        <v/>
      </c>
      <c r="BC75" t="str">
        <f>""</f>
        <v/>
      </c>
      <c r="BD75" t="str">
        <f>""</f>
        <v/>
      </c>
      <c r="BE75" t="str">
        <f>""</f>
        <v/>
      </c>
      <c r="BF75" t="str">
        <f>""</f>
        <v/>
      </c>
      <c r="BG75" t="str">
        <f>""</f>
        <v/>
      </c>
      <c r="BH75" t="str">
        <f>""</f>
        <v/>
      </c>
      <c r="BI75" t="str">
        <f>""</f>
        <v/>
      </c>
    </row>
    <row r="76" spans="1:61" x14ac:dyDescent="0.25">
      <c r="B76" t="str">
        <f>"WCAUUS Index"</f>
        <v>WCAUUS Index</v>
      </c>
      <c r="C76" t="str">
        <f>"PR005"</f>
        <v>PR005</v>
      </c>
      <c r="D76" t="str">
        <f>"PX_LAST"</f>
        <v>PX_LAST</v>
      </c>
      <c r="E76" t="str">
        <f>"Dynamic"</f>
        <v>Dynamic</v>
      </c>
      <c r="F76" t="e" cm="1">
        <f t="array" aca="1" ref="F76" ca="1">_xll.BDH($B$76,$C$76,$B$72,$B$73,CONCATENATE("Per=",$B$70),"Dts=H","Dir=H",CONCATENATE("Points=",$B$71),"Sort=R","Days=A","Fill=B",CONCATENATE("FX=", $B$69) )</f>
        <v>#NAME?</v>
      </c>
      <c r="AH76" t="str">
        <f>""</f>
        <v/>
      </c>
      <c r="AI76" t="str">
        <f>""</f>
        <v/>
      </c>
      <c r="AJ76" t="str">
        <f>""</f>
        <v/>
      </c>
      <c r="AK76" t="str">
        <f>""</f>
        <v/>
      </c>
      <c r="AL76" t="str">
        <f>""</f>
        <v/>
      </c>
      <c r="AM76" t="str">
        <f>""</f>
        <v/>
      </c>
      <c r="AN76" t="str">
        <f>""</f>
        <v/>
      </c>
      <c r="AO76" t="str">
        <f>""</f>
        <v/>
      </c>
      <c r="AP76" t="str">
        <f>""</f>
        <v/>
      </c>
      <c r="AQ76" t="str">
        <f>""</f>
        <v/>
      </c>
      <c r="AR76" t="str">
        <f>""</f>
        <v/>
      </c>
      <c r="AS76" t="str">
        <f>""</f>
        <v/>
      </c>
      <c r="AT76" t="str">
        <f>""</f>
        <v/>
      </c>
      <c r="AU76" t="str">
        <f>""</f>
        <v/>
      </c>
      <c r="AV76" t="str">
        <f>""</f>
        <v/>
      </c>
      <c r="AW76" t="str">
        <f>""</f>
        <v/>
      </c>
      <c r="AX76" t="str">
        <f>""</f>
        <v/>
      </c>
      <c r="AY76" t="str">
        <f>""</f>
        <v/>
      </c>
      <c r="AZ76" t="str">
        <f>""</f>
        <v/>
      </c>
      <c r="BA76" t="str">
        <f>""</f>
        <v/>
      </c>
      <c r="BB76" t="str">
        <f>""</f>
        <v/>
      </c>
      <c r="BC76" t="str">
        <f>""</f>
        <v/>
      </c>
      <c r="BD76" t="str">
        <f>""</f>
        <v/>
      </c>
      <c r="BE76" t="str">
        <f>""</f>
        <v/>
      </c>
      <c r="BF76" t="str">
        <f>""</f>
        <v/>
      </c>
      <c r="BG76" t="str">
        <f>""</f>
        <v/>
      </c>
      <c r="BH76" t="str">
        <f>""</f>
        <v/>
      </c>
      <c r="BI76" t="str">
        <f>""</f>
        <v/>
      </c>
    </row>
    <row r="77" spans="1:61" x14ac:dyDescent="0.25">
      <c r="B77" t="str">
        <f>"M2 Index"</f>
        <v>M2 Index</v>
      </c>
      <c r="C77" t="str">
        <f>"PR005"</f>
        <v>PR005</v>
      </c>
      <c r="D77" t="str">
        <f>"PX_LAST"</f>
        <v>PX_LAST</v>
      </c>
      <c r="E77" t="str">
        <f>"Dynamic"</f>
        <v>Dynamic</v>
      </c>
      <c r="F77" t="e" cm="1">
        <f t="array" aca="1" ref="F77" ca="1">_xll.BDH($B$77,$C$77,$B$72,$B$73,CONCATENATE("Per=",$B$70),"Dts=H","Dir=H",CONCATENATE("Points=",$B$71),"Sort=R","Days=A","Fill=B",CONCATENATE("FX=", $B$69) )</f>
        <v>#NAME?</v>
      </c>
      <c r="AH77" t="str">
        <f>""</f>
        <v/>
      </c>
      <c r="AI77" t="str">
        <f>""</f>
        <v/>
      </c>
      <c r="AJ77" t="str">
        <f>""</f>
        <v/>
      </c>
      <c r="AK77" t="str">
        <f>""</f>
        <v/>
      </c>
      <c r="AL77" t="str">
        <f>""</f>
        <v/>
      </c>
      <c r="AM77" t="str">
        <f>""</f>
        <v/>
      </c>
      <c r="AN77" t="str">
        <f>""</f>
        <v/>
      </c>
      <c r="AO77" t="str">
        <f>""</f>
        <v/>
      </c>
      <c r="AP77" t="str">
        <f>""</f>
        <v/>
      </c>
      <c r="AQ77" t="str">
        <f>""</f>
        <v/>
      </c>
      <c r="AR77" t="str">
        <f>""</f>
        <v/>
      </c>
      <c r="AS77" t="str">
        <f>""</f>
        <v/>
      </c>
      <c r="AT77" t="str">
        <f>""</f>
        <v/>
      </c>
      <c r="AU77" t="str">
        <f>""</f>
        <v/>
      </c>
      <c r="AV77" t="str">
        <f>""</f>
        <v/>
      </c>
      <c r="AW77" t="str">
        <f>""</f>
        <v/>
      </c>
      <c r="AX77" t="str">
        <f>""</f>
        <v/>
      </c>
      <c r="AY77" t="str">
        <f>""</f>
        <v/>
      </c>
      <c r="AZ77" t="str">
        <f>""</f>
        <v/>
      </c>
      <c r="BA77" t="str">
        <f>""</f>
        <v/>
      </c>
      <c r="BB77" t="str">
        <f>""</f>
        <v/>
      </c>
      <c r="BC77" t="str">
        <f>""</f>
        <v/>
      </c>
      <c r="BD77" t="str">
        <f>""</f>
        <v/>
      </c>
      <c r="BE77" t="str">
        <f>""</f>
        <v/>
      </c>
      <c r="BF77" t="str">
        <f>""</f>
        <v/>
      </c>
      <c r="BG77" t="str">
        <f>""</f>
        <v/>
      </c>
      <c r="BH77" t="str">
        <f>""</f>
        <v/>
      </c>
      <c r="BI77" t="str">
        <f>""</f>
        <v/>
      </c>
    </row>
    <row r="78" spans="1:61" x14ac:dyDescent="0.25">
      <c r="A78" t="str">
        <f>$A$14</f>
        <v xml:space="preserve">        Passive Funds</v>
      </c>
      <c r="B78" t="str">
        <f>$B$14</f>
        <v>.BIATPTT G Index</v>
      </c>
      <c r="C78" t="str">
        <f>$C$14</f>
        <v>PR005</v>
      </c>
      <c r="D78" t="str">
        <f>$D$14</f>
        <v>PX_LAST</v>
      </c>
      <c r="E78" t="str">
        <f>$E$14</f>
        <v>Dynamic</v>
      </c>
      <c r="F78" t="e" cm="1">
        <f t="array" aca="1" ref="F78" ca="1">_xll.BDH($B$14,$C$14,$B$72,$B$73,CONCATENATE("Per=",$B$70),"Dts=H","Dir=H",CONCATENATE("Points=",$B$71),"Sort=R","Days=A","Fill=B",CONCATENATE("FX=", $B$69) )</f>
        <v>#NAME?</v>
      </c>
      <c r="AH78" t="str">
        <f>""</f>
        <v/>
      </c>
      <c r="AI78" t="str">
        <f>""</f>
        <v/>
      </c>
      <c r="AJ78" t="str">
        <f>""</f>
        <v/>
      </c>
      <c r="AK78" t="str">
        <f>""</f>
        <v/>
      </c>
      <c r="AL78" t="str">
        <f>""</f>
        <v/>
      </c>
      <c r="AM78" t="str">
        <f>""</f>
        <v/>
      </c>
      <c r="AN78" t="str">
        <f>""</f>
        <v/>
      </c>
      <c r="AO78" t="str">
        <f>""</f>
        <v/>
      </c>
      <c r="AP78" t="str">
        <f>""</f>
        <v/>
      </c>
      <c r="AQ78" t="str">
        <f>""</f>
        <v/>
      </c>
      <c r="AR78" t="str">
        <f>""</f>
        <v/>
      </c>
      <c r="AS78" t="str">
        <f>""</f>
        <v/>
      </c>
      <c r="AT78" t="str">
        <f>""</f>
        <v/>
      </c>
      <c r="AU78" t="str">
        <f>""</f>
        <v/>
      </c>
      <c r="AV78" t="str">
        <f>""</f>
        <v/>
      </c>
      <c r="AW78" t="str">
        <f>""</f>
        <v/>
      </c>
      <c r="AX78" t="str">
        <f>""</f>
        <v/>
      </c>
      <c r="AY78" t="str">
        <f>""</f>
        <v/>
      </c>
      <c r="AZ78" t="str">
        <f>""</f>
        <v/>
      </c>
      <c r="BA78" t="str">
        <f>""</f>
        <v/>
      </c>
      <c r="BB78" t="str">
        <f>""</f>
        <v/>
      </c>
      <c r="BC78" t="str">
        <f>""</f>
        <v/>
      </c>
      <c r="BD78" t="str">
        <f>""</f>
        <v/>
      </c>
      <c r="BE78" t="str">
        <f>""</f>
        <v/>
      </c>
      <c r="BF78" t="str">
        <f>""</f>
        <v/>
      </c>
      <c r="BG78" t="str">
        <f>""</f>
        <v/>
      </c>
      <c r="BH78" t="str">
        <f>""</f>
        <v/>
      </c>
      <c r="BI78" t="str">
        <f>""</f>
        <v/>
      </c>
    </row>
    <row r="79" spans="1:61" x14ac:dyDescent="0.25">
      <c r="A79" t="str">
        <f>$A$15</f>
        <v xml:space="preserve">            Passive Mutual Funds</v>
      </c>
      <c r="B79" t="str">
        <f>$B$15</f>
        <v>.BIAMPTT G Index</v>
      </c>
      <c r="C79" t="str">
        <f>$C$15</f>
        <v>PR005</v>
      </c>
      <c r="D79" t="str">
        <f>$D$15</f>
        <v>PX_LAST</v>
      </c>
      <c r="E79" t="str">
        <f>$E$15</f>
        <v>Dynamic</v>
      </c>
      <c r="F79" t="e" cm="1">
        <f t="array" aca="1" ref="F79" ca="1">_xll.BDH($B$15,$C$15,$B$72,$B$73,CONCATENATE("Per=",$B$70),"Dts=H","Dir=H",CONCATENATE("Points=",$B$71),"Sort=R","Days=A","Fill=B",CONCATENATE("FX=", $B$69) )</f>
        <v>#NAME?</v>
      </c>
      <c r="AH79" t="str">
        <f>""</f>
        <v/>
      </c>
      <c r="AI79" t="str">
        <f>""</f>
        <v/>
      </c>
      <c r="AJ79" t="str">
        <f>""</f>
        <v/>
      </c>
      <c r="AK79" t="str">
        <f>""</f>
        <v/>
      </c>
      <c r="AL79" t="str">
        <f>""</f>
        <v/>
      </c>
      <c r="AM79" t="str">
        <f>""</f>
        <v/>
      </c>
      <c r="AN79" t="str">
        <f>""</f>
        <v/>
      </c>
      <c r="AO79" t="str">
        <f>""</f>
        <v/>
      </c>
      <c r="AP79" t="str">
        <f>""</f>
        <v/>
      </c>
      <c r="AQ79" t="str">
        <f>""</f>
        <v/>
      </c>
      <c r="AR79" t="str">
        <f>""</f>
        <v/>
      </c>
      <c r="AS79" t="str">
        <f>""</f>
        <v/>
      </c>
      <c r="AT79" t="str">
        <f>""</f>
        <v/>
      </c>
      <c r="AU79" t="str">
        <f>""</f>
        <v/>
      </c>
      <c r="AV79" t="str">
        <f>""</f>
        <v/>
      </c>
      <c r="AW79" t="str">
        <f>""</f>
        <v/>
      </c>
      <c r="AX79" t="str">
        <f>""</f>
        <v/>
      </c>
      <c r="AY79" t="str">
        <f>""</f>
        <v/>
      </c>
      <c r="AZ79" t="str">
        <f>""</f>
        <v/>
      </c>
      <c r="BA79" t="str">
        <f>""</f>
        <v/>
      </c>
      <c r="BB79" t="str">
        <f>""</f>
        <v/>
      </c>
      <c r="BC79" t="str">
        <f>""</f>
        <v/>
      </c>
      <c r="BD79" t="str">
        <f>""</f>
        <v/>
      </c>
      <c r="BE79" t="str">
        <f>""</f>
        <v/>
      </c>
      <c r="BF79" t="str">
        <f>""</f>
        <v/>
      </c>
      <c r="BG79" t="str">
        <f>""</f>
        <v/>
      </c>
      <c r="BH79" t="str">
        <f>""</f>
        <v/>
      </c>
      <c r="BI79" t="str">
        <f>""</f>
        <v/>
      </c>
    </row>
    <row r="80" spans="1:61" x14ac:dyDescent="0.25">
      <c r="A80" t="str">
        <f>$A$17</f>
        <v xml:space="preserve">        Active Funds</v>
      </c>
      <c r="B80" t="str">
        <f>$B$17</f>
        <v>.BIATATT G Index</v>
      </c>
      <c r="C80" t="str">
        <f>$C$17</f>
        <v>PR005</v>
      </c>
      <c r="D80" t="str">
        <f>$D$17</f>
        <v>PX_LAST</v>
      </c>
      <c r="E80" t="str">
        <f>$E$17</f>
        <v>Dynamic</v>
      </c>
      <c r="F80" t="e" cm="1">
        <f t="array" aca="1" ref="F80" ca="1">_xll.BDH($B$17,$C$17,$B$72,$B$73,CONCATENATE("Per=",$B$70),"Dts=H","Dir=H",CONCATENATE("Points=",$B$71),"Sort=R","Days=A","Fill=B",CONCATENATE("FX=", $B$69) )</f>
        <v>#NAME?</v>
      </c>
      <c r="AH80" t="str">
        <f>""</f>
        <v/>
      </c>
      <c r="AI80" t="str">
        <f>""</f>
        <v/>
      </c>
      <c r="AJ80" t="str">
        <f>""</f>
        <v/>
      </c>
      <c r="AK80" t="str">
        <f>""</f>
        <v/>
      </c>
      <c r="AL80" t="str">
        <f>""</f>
        <v/>
      </c>
      <c r="AM80" t="str">
        <f>""</f>
        <v/>
      </c>
      <c r="AN80" t="str">
        <f>""</f>
        <v/>
      </c>
      <c r="AO80" t="str">
        <f>""</f>
        <v/>
      </c>
      <c r="AP80" t="str">
        <f>""</f>
        <v/>
      </c>
      <c r="AQ80" t="str">
        <f>""</f>
        <v/>
      </c>
      <c r="AR80" t="str">
        <f>""</f>
        <v/>
      </c>
      <c r="AS80" t="str">
        <f>""</f>
        <v/>
      </c>
      <c r="AT80" t="str">
        <f>""</f>
        <v/>
      </c>
      <c r="AU80" t="str">
        <f>""</f>
        <v/>
      </c>
      <c r="AV80" t="str">
        <f>""</f>
        <v/>
      </c>
      <c r="AW80" t="str">
        <f>""</f>
        <v/>
      </c>
      <c r="AX80" t="str">
        <f>""</f>
        <v/>
      </c>
      <c r="AY80" t="str">
        <f>""</f>
        <v/>
      </c>
      <c r="AZ80" t="str">
        <f>""</f>
        <v/>
      </c>
      <c r="BA80" t="str">
        <f>""</f>
        <v/>
      </c>
      <c r="BB80" t="str">
        <f>""</f>
        <v/>
      </c>
      <c r="BC80" t="str">
        <f>""</f>
        <v/>
      </c>
      <c r="BD80" t="str">
        <f>""</f>
        <v/>
      </c>
      <c r="BE80" t="str">
        <f>""</f>
        <v/>
      </c>
      <c r="BF80" t="str">
        <f>""</f>
        <v/>
      </c>
      <c r="BG80" t="str">
        <f>""</f>
        <v/>
      </c>
      <c r="BH80" t="str">
        <f>""</f>
        <v/>
      </c>
      <c r="BI80" t="str">
        <f>""</f>
        <v/>
      </c>
    </row>
    <row r="81" spans="1:61" x14ac:dyDescent="0.25">
      <c r="A81" t="str">
        <f>$A$18</f>
        <v xml:space="preserve">            Active Mutual Funds</v>
      </c>
      <c r="B81" t="str">
        <f>$B$18</f>
        <v>.BIAMATT G Index</v>
      </c>
      <c r="C81" t="str">
        <f>$C$18</f>
        <v>PR005</v>
      </c>
      <c r="D81" t="str">
        <f>$D$18</f>
        <v>PX_LAST</v>
      </c>
      <c r="E81" t="str">
        <f>$E$18</f>
        <v>Dynamic</v>
      </c>
      <c r="F81" t="e" cm="1">
        <f t="array" aca="1" ref="F81" ca="1">_xll.BDH($B$18,$C$18,$B$72,$B$73,CONCATENATE("Per=",$B$70),"Dts=H","Dir=H",CONCATENATE("Points=",$B$71),"Sort=R","Days=A","Fill=B",CONCATENATE("FX=", $B$69) )</f>
        <v>#NAME?</v>
      </c>
      <c r="AH81" t="str">
        <f>""</f>
        <v/>
      </c>
      <c r="AI81" t="str">
        <f>""</f>
        <v/>
      </c>
      <c r="AJ81" t="str">
        <f>""</f>
        <v/>
      </c>
      <c r="AK81" t="str">
        <f>""</f>
        <v/>
      </c>
      <c r="AL81" t="str">
        <f>""</f>
        <v/>
      </c>
      <c r="AM81" t="str">
        <f>""</f>
        <v/>
      </c>
      <c r="AN81" t="str">
        <f>""</f>
        <v/>
      </c>
      <c r="AO81" t="str">
        <f>""</f>
        <v/>
      </c>
      <c r="AP81" t="str">
        <f>""</f>
        <v/>
      </c>
      <c r="AQ81" t="str">
        <f>""</f>
        <v/>
      </c>
      <c r="AR81" t="str">
        <f>""</f>
        <v/>
      </c>
      <c r="AS81" t="str">
        <f>""</f>
        <v/>
      </c>
      <c r="AT81" t="str">
        <f>""</f>
        <v/>
      </c>
      <c r="AU81" t="str">
        <f>""</f>
        <v/>
      </c>
      <c r="AV81" t="str">
        <f>""</f>
        <v/>
      </c>
      <c r="AW81" t="str">
        <f>""</f>
        <v/>
      </c>
      <c r="AX81" t="str">
        <f>""</f>
        <v/>
      </c>
      <c r="AY81" t="str">
        <f>""</f>
        <v/>
      </c>
      <c r="AZ81" t="str">
        <f>""</f>
        <v/>
      </c>
      <c r="BA81" t="str">
        <f>""</f>
        <v/>
      </c>
      <c r="BB81" t="str">
        <f>""</f>
        <v/>
      </c>
      <c r="BC81" t="str">
        <f>""</f>
        <v/>
      </c>
      <c r="BD81" t="str">
        <f>""</f>
        <v/>
      </c>
      <c r="BE81" t="str">
        <f>""</f>
        <v/>
      </c>
      <c r="BF81" t="str">
        <f>""</f>
        <v/>
      </c>
      <c r="BG81" t="str">
        <f>""</f>
        <v/>
      </c>
      <c r="BH81" t="str">
        <f>""</f>
        <v/>
      </c>
      <c r="BI81" t="str">
        <f>""</f>
        <v/>
      </c>
    </row>
    <row r="82" spans="1:61" x14ac:dyDescent="0.25">
      <c r="A82" t="str">
        <f>$A$21</f>
        <v xml:space="preserve">        Passive Fixed Income</v>
      </c>
      <c r="B82" t="str">
        <f>$B$21</f>
        <v>.BIATPTF G Index</v>
      </c>
      <c r="C82" t="str">
        <f>$C$21</f>
        <v>PR005</v>
      </c>
      <c r="D82" t="str">
        <f>$D$21</f>
        <v>PX_LAST</v>
      </c>
      <c r="E82" t="str">
        <f>$E$21</f>
        <v>Dynamic</v>
      </c>
      <c r="F82" t="e" cm="1">
        <f t="array" aca="1" ref="F82" ca="1">_xll.BDH($B$21,$C$21,$B$72,$B$73,CONCATENATE("Per=",$B$70),"Dts=H","Dir=H",CONCATENATE("Points=",$B$71),"Sort=R","Days=A","Fill=B",CONCATENATE("FX=", $B$69) )</f>
        <v>#NAME?</v>
      </c>
      <c r="AH82" t="str">
        <f>""</f>
        <v/>
      </c>
      <c r="AI82" t="str">
        <f>""</f>
        <v/>
      </c>
      <c r="AJ82" t="str">
        <f>""</f>
        <v/>
      </c>
      <c r="AK82" t="str">
        <f>""</f>
        <v/>
      </c>
      <c r="AL82" t="str">
        <f>""</f>
        <v/>
      </c>
      <c r="AM82" t="str">
        <f>""</f>
        <v/>
      </c>
      <c r="AN82" t="str">
        <f>""</f>
        <v/>
      </c>
      <c r="AO82" t="str">
        <f>""</f>
        <v/>
      </c>
      <c r="AP82" t="str">
        <f>""</f>
        <v/>
      </c>
      <c r="AQ82" t="str">
        <f>""</f>
        <v/>
      </c>
      <c r="AR82" t="str">
        <f>""</f>
        <v/>
      </c>
      <c r="AS82" t="str">
        <f>""</f>
        <v/>
      </c>
      <c r="AT82" t="str">
        <f>""</f>
        <v/>
      </c>
      <c r="AU82" t="str">
        <f>""</f>
        <v/>
      </c>
      <c r="AV82" t="str">
        <f>""</f>
        <v/>
      </c>
      <c r="AW82" t="str">
        <f>""</f>
        <v/>
      </c>
      <c r="AX82" t="str">
        <f>""</f>
        <v/>
      </c>
      <c r="AY82" t="str">
        <f>""</f>
        <v/>
      </c>
      <c r="AZ82" t="str">
        <f>""</f>
        <v/>
      </c>
      <c r="BA82" t="str">
        <f>""</f>
        <v/>
      </c>
      <c r="BB82" t="str">
        <f>""</f>
        <v/>
      </c>
      <c r="BC82" t="str">
        <f>""</f>
        <v/>
      </c>
      <c r="BD82" t="str">
        <f>""</f>
        <v/>
      </c>
      <c r="BE82" t="str">
        <f>""</f>
        <v/>
      </c>
      <c r="BF82" t="str">
        <f>""</f>
        <v/>
      </c>
      <c r="BG82" t="str">
        <f>""</f>
        <v/>
      </c>
      <c r="BH82" t="str">
        <f>""</f>
        <v/>
      </c>
      <c r="BI82" t="str">
        <f>""</f>
        <v/>
      </c>
    </row>
    <row r="83" spans="1:61" x14ac:dyDescent="0.25">
      <c r="A83" t="str">
        <f>$A$22</f>
        <v xml:space="preserve">            Passive Fixed Income Mutual Funds</v>
      </c>
      <c r="B83" t="str">
        <f>$B$22</f>
        <v>.BIAMPTF G Index</v>
      </c>
      <c r="C83" t="str">
        <f>$C$22</f>
        <v>PR005</v>
      </c>
      <c r="D83" t="str">
        <f>$D$22</f>
        <v>PX_LAST</v>
      </c>
      <c r="E83" t="str">
        <f>$E$22</f>
        <v>Dynamic</v>
      </c>
      <c r="F83" t="e" cm="1">
        <f t="array" aca="1" ref="F83" ca="1">_xll.BDH($B$22,$C$22,$B$72,$B$73,CONCATENATE("Per=",$B$70),"Dts=H","Dir=H",CONCATENATE("Points=",$B$71),"Sort=R","Days=A","Fill=B",CONCATENATE("FX=", $B$69) )</f>
        <v>#NAME?</v>
      </c>
      <c r="AH83" t="str">
        <f>""</f>
        <v/>
      </c>
      <c r="AI83" t="str">
        <f>""</f>
        <v/>
      </c>
      <c r="AJ83" t="str">
        <f>""</f>
        <v/>
      </c>
      <c r="AK83" t="str">
        <f>""</f>
        <v/>
      </c>
      <c r="AL83" t="str">
        <f>""</f>
        <v/>
      </c>
      <c r="AM83" t="str">
        <f>""</f>
        <v/>
      </c>
      <c r="AN83" t="str">
        <f>""</f>
        <v/>
      </c>
      <c r="AO83" t="str">
        <f>""</f>
        <v/>
      </c>
      <c r="AP83" t="str">
        <f>""</f>
        <v/>
      </c>
      <c r="AQ83" t="str">
        <f>""</f>
        <v/>
      </c>
      <c r="AR83" t="str">
        <f>""</f>
        <v/>
      </c>
      <c r="AS83" t="str">
        <f>""</f>
        <v/>
      </c>
      <c r="AT83" t="str">
        <f>""</f>
        <v/>
      </c>
      <c r="AU83" t="str">
        <f>""</f>
        <v/>
      </c>
      <c r="AV83" t="str">
        <f>""</f>
        <v/>
      </c>
      <c r="AW83" t="str">
        <f>""</f>
        <v/>
      </c>
      <c r="AX83" t="str">
        <f>""</f>
        <v/>
      </c>
      <c r="AY83" t="str">
        <f>""</f>
        <v/>
      </c>
      <c r="AZ83" t="str">
        <f>""</f>
        <v/>
      </c>
      <c r="BA83" t="str">
        <f>""</f>
        <v/>
      </c>
      <c r="BB83" t="str">
        <f>""</f>
        <v/>
      </c>
      <c r="BC83" t="str">
        <f>""</f>
        <v/>
      </c>
      <c r="BD83" t="str">
        <f>""</f>
        <v/>
      </c>
      <c r="BE83" t="str">
        <f>""</f>
        <v/>
      </c>
      <c r="BF83" t="str">
        <f>""</f>
        <v/>
      </c>
      <c r="BG83" t="str">
        <f>""</f>
        <v/>
      </c>
      <c r="BH83" t="str">
        <f>""</f>
        <v/>
      </c>
      <c r="BI83" t="str">
        <f>""</f>
        <v/>
      </c>
    </row>
    <row r="84" spans="1:61" x14ac:dyDescent="0.25">
      <c r="A84" t="str">
        <f>$A$24</f>
        <v xml:space="preserve">        Active Fixed Income</v>
      </c>
      <c r="B84" t="str">
        <f>$B$24</f>
        <v>.BIATATF G Index</v>
      </c>
      <c r="C84" t="str">
        <f>$C$24</f>
        <v>PR005</v>
      </c>
      <c r="D84" t="str">
        <f>$D$24</f>
        <v>PX_LAST</v>
      </c>
      <c r="E84" t="str">
        <f>$E$24</f>
        <v>Dynamic</v>
      </c>
      <c r="F84" t="e" cm="1">
        <f t="array" aca="1" ref="F84" ca="1">_xll.BDH($B$24,$C$24,$B$72,$B$73,CONCATENATE("Per=",$B$70),"Dts=H","Dir=H",CONCATENATE("Points=",$B$71),"Sort=R","Days=A","Fill=B",CONCATENATE("FX=", $B$69) )</f>
        <v>#NAME?</v>
      </c>
      <c r="AH84" t="str">
        <f>""</f>
        <v/>
      </c>
      <c r="AI84" t="str">
        <f>""</f>
        <v/>
      </c>
      <c r="AJ84" t="str">
        <f>""</f>
        <v/>
      </c>
      <c r="AK84" t="str">
        <f>""</f>
        <v/>
      </c>
      <c r="AL84" t="str">
        <f>""</f>
        <v/>
      </c>
      <c r="AM84" t="str">
        <f>""</f>
        <v/>
      </c>
      <c r="AN84" t="str">
        <f>""</f>
        <v/>
      </c>
      <c r="AO84" t="str">
        <f>""</f>
        <v/>
      </c>
      <c r="AP84" t="str">
        <f>""</f>
        <v/>
      </c>
      <c r="AQ84" t="str">
        <f>""</f>
        <v/>
      </c>
      <c r="AR84" t="str">
        <f>""</f>
        <v/>
      </c>
      <c r="AS84" t="str">
        <f>""</f>
        <v/>
      </c>
      <c r="AT84" t="str">
        <f>""</f>
        <v/>
      </c>
      <c r="AU84" t="str">
        <f>""</f>
        <v/>
      </c>
      <c r="AV84" t="str">
        <f>""</f>
        <v/>
      </c>
      <c r="AW84" t="str">
        <f>""</f>
        <v/>
      </c>
      <c r="AX84" t="str">
        <f>""</f>
        <v/>
      </c>
      <c r="AY84" t="str">
        <f>""</f>
        <v/>
      </c>
      <c r="AZ84" t="str">
        <f>""</f>
        <v/>
      </c>
      <c r="BA84" t="str">
        <f>""</f>
        <v/>
      </c>
      <c r="BB84" t="str">
        <f>""</f>
        <v/>
      </c>
      <c r="BC84" t="str">
        <f>""</f>
        <v/>
      </c>
      <c r="BD84" t="str">
        <f>""</f>
        <v/>
      </c>
      <c r="BE84" t="str">
        <f>""</f>
        <v/>
      </c>
      <c r="BF84" t="str">
        <f>""</f>
        <v/>
      </c>
      <c r="BG84" t="str">
        <f>""</f>
        <v/>
      </c>
      <c r="BH84" t="str">
        <f>""</f>
        <v/>
      </c>
      <c r="BI84" t="str">
        <f>""</f>
        <v/>
      </c>
    </row>
    <row r="85" spans="1:61" x14ac:dyDescent="0.25">
      <c r="A85" t="str">
        <f>$A$25</f>
        <v xml:space="preserve">            Active Fixed Income Mutual Funds</v>
      </c>
      <c r="B85" t="str">
        <f>$B$25</f>
        <v>.BIAMATF G Index</v>
      </c>
      <c r="C85" t="str">
        <f>$C$25</f>
        <v>PR005</v>
      </c>
      <c r="D85" t="str">
        <f>$D$25</f>
        <v>PX_LAST</v>
      </c>
      <c r="E85" t="str">
        <f>$E$25</f>
        <v>Dynamic</v>
      </c>
      <c r="F85" t="e" cm="1">
        <f t="array" aca="1" ref="F85" ca="1">_xll.BDH($B$25,$C$25,$B$72,$B$73,CONCATENATE("Per=",$B$70),"Dts=H","Dir=H",CONCATENATE("Points=",$B$71),"Sort=R","Days=A","Fill=B",CONCATENATE("FX=", $B$69) )</f>
        <v>#NAME?</v>
      </c>
      <c r="AH85" t="str">
        <f>""</f>
        <v/>
      </c>
      <c r="AI85" t="str">
        <f>""</f>
        <v/>
      </c>
      <c r="AJ85" t="str">
        <f>""</f>
        <v/>
      </c>
      <c r="AK85" t="str">
        <f>""</f>
        <v/>
      </c>
      <c r="AL85" t="str">
        <f>""</f>
        <v/>
      </c>
      <c r="AM85" t="str">
        <f>""</f>
        <v/>
      </c>
      <c r="AN85" t="str">
        <f>""</f>
        <v/>
      </c>
      <c r="AO85" t="str">
        <f>""</f>
        <v/>
      </c>
      <c r="AP85" t="str">
        <f>""</f>
        <v/>
      </c>
      <c r="AQ85" t="str">
        <f>""</f>
        <v/>
      </c>
      <c r="AR85" t="str">
        <f>""</f>
        <v/>
      </c>
      <c r="AS85" t="str">
        <f>""</f>
        <v/>
      </c>
      <c r="AT85" t="str">
        <f>""</f>
        <v/>
      </c>
      <c r="AU85" t="str">
        <f>""</f>
        <v/>
      </c>
      <c r="AV85" t="str">
        <f>""</f>
        <v/>
      </c>
      <c r="AW85" t="str">
        <f>""</f>
        <v/>
      </c>
      <c r="AX85" t="str">
        <f>""</f>
        <v/>
      </c>
      <c r="AY85" t="str">
        <f>""</f>
        <v/>
      </c>
      <c r="AZ85" t="str">
        <f>""</f>
        <v/>
      </c>
      <c r="BA85" t="str">
        <f>""</f>
        <v/>
      </c>
      <c r="BB85" t="str">
        <f>""</f>
        <v/>
      </c>
      <c r="BC85" t="str">
        <f>""</f>
        <v/>
      </c>
      <c r="BD85" t="str">
        <f>""</f>
        <v/>
      </c>
      <c r="BE85" t="str">
        <f>""</f>
        <v/>
      </c>
      <c r="BF85" t="str">
        <f>""</f>
        <v/>
      </c>
      <c r="BG85" t="str">
        <f>""</f>
        <v/>
      </c>
      <c r="BH85" t="str">
        <f>""</f>
        <v/>
      </c>
      <c r="BI85" t="str">
        <f>""</f>
        <v/>
      </c>
    </row>
    <row r="86" spans="1:61" x14ac:dyDescent="0.25">
      <c r="A86" t="str">
        <f>$A$28</f>
        <v xml:space="preserve">        Passive Equity</v>
      </c>
      <c r="B86" t="str">
        <f>$B$28</f>
        <v>.BIATPTE G Index</v>
      </c>
      <c r="C86" t="str">
        <f>$C$28</f>
        <v>PR005</v>
      </c>
      <c r="D86" t="str">
        <f>$D$28</f>
        <v>PX_LAST</v>
      </c>
      <c r="E86" t="str">
        <f>$E$28</f>
        <v>Dynamic</v>
      </c>
      <c r="F86" t="e" cm="1">
        <f t="array" aca="1" ref="F86" ca="1">_xll.BDH($B$28,$C$28,$B$72,$B$73,CONCATENATE("Per=",$B$70),"Dts=H","Dir=H",CONCATENATE("Points=",$B$71),"Sort=R","Days=A","Fill=B",CONCATENATE("FX=", $B$69) )</f>
        <v>#NAME?</v>
      </c>
      <c r="AH86" t="str">
        <f>""</f>
        <v/>
      </c>
      <c r="AI86" t="str">
        <f>""</f>
        <v/>
      </c>
      <c r="AJ86" t="str">
        <f>""</f>
        <v/>
      </c>
      <c r="AK86" t="str">
        <f>""</f>
        <v/>
      </c>
      <c r="AL86" t="str">
        <f>""</f>
        <v/>
      </c>
      <c r="AM86" t="str">
        <f>""</f>
        <v/>
      </c>
      <c r="AN86" t="str">
        <f>""</f>
        <v/>
      </c>
      <c r="AO86" t="str">
        <f>""</f>
        <v/>
      </c>
      <c r="AP86" t="str">
        <f>""</f>
        <v/>
      </c>
      <c r="AQ86" t="str">
        <f>""</f>
        <v/>
      </c>
      <c r="AR86" t="str">
        <f>""</f>
        <v/>
      </c>
      <c r="AS86" t="str">
        <f>""</f>
        <v/>
      </c>
      <c r="AT86" t="str">
        <f>""</f>
        <v/>
      </c>
      <c r="AU86" t="str">
        <f>""</f>
        <v/>
      </c>
      <c r="AV86" t="str">
        <f>""</f>
        <v/>
      </c>
      <c r="AW86" t="str">
        <f>""</f>
        <v/>
      </c>
      <c r="AX86" t="str">
        <f>""</f>
        <v/>
      </c>
      <c r="AY86" t="str">
        <f>""</f>
        <v/>
      </c>
      <c r="AZ86" t="str">
        <f>""</f>
        <v/>
      </c>
      <c r="BA86" t="str">
        <f>""</f>
        <v/>
      </c>
      <c r="BB86" t="str">
        <f>""</f>
        <v/>
      </c>
      <c r="BC86" t="str">
        <f>""</f>
        <v/>
      </c>
      <c r="BD86" t="str">
        <f>""</f>
        <v/>
      </c>
      <c r="BE86" t="str">
        <f>""</f>
        <v/>
      </c>
      <c r="BF86" t="str">
        <f>""</f>
        <v/>
      </c>
      <c r="BG86" t="str">
        <f>""</f>
        <v/>
      </c>
      <c r="BH86" t="str">
        <f>""</f>
        <v/>
      </c>
      <c r="BI86" t="str">
        <f>""</f>
        <v/>
      </c>
    </row>
    <row r="87" spans="1:61" x14ac:dyDescent="0.25">
      <c r="A87" t="str">
        <f>$A$29</f>
        <v xml:space="preserve">            Passive Equity Mutual Funds</v>
      </c>
      <c r="B87" t="str">
        <f>$B$29</f>
        <v>.BIAMPTE G Index</v>
      </c>
      <c r="C87" t="str">
        <f>$C$29</f>
        <v>PR005</v>
      </c>
      <c r="D87" t="str">
        <f>$D$29</f>
        <v>PX_LAST</v>
      </c>
      <c r="E87" t="str">
        <f>$E$29</f>
        <v>Dynamic</v>
      </c>
      <c r="F87" t="e" cm="1">
        <f t="array" aca="1" ref="F87" ca="1">_xll.BDH($B$29,$C$29,$B$72,$B$73,CONCATENATE("Per=",$B$70),"Dts=H","Dir=H",CONCATENATE("Points=",$B$71),"Sort=R","Days=A","Fill=B",CONCATENATE("FX=", $B$69) )</f>
        <v>#NAME?</v>
      </c>
      <c r="AH87" t="str">
        <f>""</f>
        <v/>
      </c>
      <c r="AI87" t="str">
        <f>""</f>
        <v/>
      </c>
      <c r="AJ87" t="str">
        <f>""</f>
        <v/>
      </c>
      <c r="AK87" t="str">
        <f>""</f>
        <v/>
      </c>
      <c r="AL87" t="str">
        <f>""</f>
        <v/>
      </c>
      <c r="AM87" t="str">
        <f>""</f>
        <v/>
      </c>
      <c r="AN87" t="str">
        <f>""</f>
        <v/>
      </c>
      <c r="AO87" t="str">
        <f>""</f>
        <v/>
      </c>
      <c r="AP87" t="str">
        <f>""</f>
        <v/>
      </c>
      <c r="AQ87" t="str">
        <f>""</f>
        <v/>
      </c>
      <c r="AR87" t="str">
        <f>""</f>
        <v/>
      </c>
      <c r="AS87" t="str">
        <f>""</f>
        <v/>
      </c>
      <c r="AT87" t="str">
        <f>""</f>
        <v/>
      </c>
      <c r="AU87" t="str">
        <f>""</f>
        <v/>
      </c>
      <c r="AV87" t="str">
        <f>""</f>
        <v/>
      </c>
      <c r="AW87" t="str">
        <f>""</f>
        <v/>
      </c>
      <c r="AX87" t="str">
        <f>""</f>
        <v/>
      </c>
      <c r="AY87" t="str">
        <f>""</f>
        <v/>
      </c>
      <c r="AZ87" t="str">
        <f>""</f>
        <v/>
      </c>
      <c r="BA87" t="str">
        <f>""</f>
        <v/>
      </c>
      <c r="BB87" t="str">
        <f>""</f>
        <v/>
      </c>
      <c r="BC87" t="str">
        <f>""</f>
        <v/>
      </c>
      <c r="BD87" t="str">
        <f>""</f>
        <v/>
      </c>
      <c r="BE87" t="str">
        <f>""</f>
        <v/>
      </c>
      <c r="BF87" t="str">
        <f>""</f>
        <v/>
      </c>
      <c r="BG87" t="str">
        <f>""</f>
        <v/>
      </c>
      <c r="BH87" t="str">
        <f>""</f>
        <v/>
      </c>
      <c r="BI87" t="str">
        <f>""</f>
        <v/>
      </c>
    </row>
    <row r="88" spans="1:61" x14ac:dyDescent="0.25">
      <c r="A88" t="str">
        <f>$A$31</f>
        <v xml:space="preserve">        Active Equity</v>
      </c>
      <c r="B88" t="str">
        <f>$B$31</f>
        <v>.BIATATE G Index</v>
      </c>
      <c r="C88" t="str">
        <f>$C$31</f>
        <v>PR005</v>
      </c>
      <c r="D88" t="str">
        <f>$D$31</f>
        <v>PX_LAST</v>
      </c>
      <c r="E88" t="str">
        <f>$E$31</f>
        <v>Dynamic</v>
      </c>
      <c r="F88" t="e" cm="1">
        <f t="array" aca="1" ref="F88" ca="1">_xll.BDH($B$31,$C$31,$B$72,$B$73,CONCATENATE("Per=",$B$70),"Dts=H","Dir=H",CONCATENATE("Points=",$B$71),"Sort=R","Days=A","Fill=B",CONCATENATE("FX=", $B$69) )</f>
        <v>#NAME?</v>
      </c>
      <c r="AH88" t="str">
        <f>""</f>
        <v/>
      </c>
      <c r="AI88" t="str">
        <f>""</f>
        <v/>
      </c>
      <c r="AJ88" t="str">
        <f>""</f>
        <v/>
      </c>
      <c r="AK88" t="str">
        <f>""</f>
        <v/>
      </c>
      <c r="AL88" t="str">
        <f>""</f>
        <v/>
      </c>
      <c r="AM88" t="str">
        <f>""</f>
        <v/>
      </c>
      <c r="AN88" t="str">
        <f>""</f>
        <v/>
      </c>
      <c r="AO88" t="str">
        <f>""</f>
        <v/>
      </c>
      <c r="AP88" t="str">
        <f>""</f>
        <v/>
      </c>
      <c r="AQ88" t="str">
        <f>""</f>
        <v/>
      </c>
      <c r="AR88" t="str">
        <f>""</f>
        <v/>
      </c>
      <c r="AS88" t="str">
        <f>""</f>
        <v/>
      </c>
      <c r="AT88" t="str">
        <f>""</f>
        <v/>
      </c>
      <c r="AU88" t="str">
        <f>""</f>
        <v/>
      </c>
      <c r="AV88" t="str">
        <f>""</f>
        <v/>
      </c>
      <c r="AW88" t="str">
        <f>""</f>
        <v/>
      </c>
      <c r="AX88" t="str">
        <f>""</f>
        <v/>
      </c>
      <c r="AY88" t="str">
        <f>""</f>
        <v/>
      </c>
      <c r="AZ88" t="str">
        <f>""</f>
        <v/>
      </c>
      <c r="BA88" t="str">
        <f>""</f>
        <v/>
      </c>
      <c r="BB88" t="str">
        <f>""</f>
        <v/>
      </c>
      <c r="BC88" t="str">
        <f>""</f>
        <v/>
      </c>
      <c r="BD88" t="str">
        <f>""</f>
        <v/>
      </c>
      <c r="BE88" t="str">
        <f>""</f>
        <v/>
      </c>
      <c r="BF88" t="str">
        <f>""</f>
        <v/>
      </c>
      <c r="BG88" t="str">
        <f>""</f>
        <v/>
      </c>
      <c r="BH88" t="str">
        <f>""</f>
        <v/>
      </c>
      <c r="BI88" t="str">
        <f>""</f>
        <v/>
      </c>
    </row>
    <row r="89" spans="1:61" x14ac:dyDescent="0.25">
      <c r="A89" t="str">
        <f>$A$32</f>
        <v xml:space="preserve">            Active Equity Mutual Funds</v>
      </c>
      <c r="B89" t="str">
        <f>$B$32</f>
        <v>.BIAMATE G Index</v>
      </c>
      <c r="C89" t="str">
        <f>$C$32</f>
        <v>PR005</v>
      </c>
      <c r="D89" t="str">
        <f>$D$32</f>
        <v>PX_LAST</v>
      </c>
      <c r="E89" t="str">
        <f>$E$32</f>
        <v>Dynamic</v>
      </c>
      <c r="F89" t="e" cm="1">
        <f t="array" aca="1" ref="F89" ca="1">_xll.BDH($B$32,$C$32,$B$72,$B$73,CONCATENATE("Per=",$B$70),"Dts=H","Dir=H",CONCATENATE("Points=",$B$71),"Sort=R","Days=A","Fill=B",CONCATENATE("FX=", $B$69) )</f>
        <v>#NAME?</v>
      </c>
      <c r="AH89" t="str">
        <f>""</f>
        <v/>
      </c>
      <c r="AI89" t="str">
        <f>""</f>
        <v/>
      </c>
      <c r="AJ89" t="str">
        <f>""</f>
        <v/>
      </c>
      <c r="AK89" t="str">
        <f>""</f>
        <v/>
      </c>
      <c r="AL89" t="str">
        <f>""</f>
        <v/>
      </c>
      <c r="AM89" t="str">
        <f>""</f>
        <v/>
      </c>
      <c r="AN89" t="str">
        <f>""</f>
        <v/>
      </c>
      <c r="AO89" t="str">
        <f>""</f>
        <v/>
      </c>
      <c r="AP89" t="str">
        <f>""</f>
        <v/>
      </c>
      <c r="AQ89" t="str">
        <f>""</f>
        <v/>
      </c>
      <c r="AR89" t="str">
        <f>""</f>
        <v/>
      </c>
      <c r="AS89" t="str">
        <f>""</f>
        <v/>
      </c>
      <c r="AT89" t="str">
        <f>""</f>
        <v/>
      </c>
      <c r="AU89" t="str">
        <f>""</f>
        <v/>
      </c>
      <c r="AV89" t="str">
        <f>""</f>
        <v/>
      </c>
      <c r="AW89" t="str">
        <f>""</f>
        <v/>
      </c>
      <c r="AX89" t="str">
        <f>""</f>
        <v/>
      </c>
      <c r="AY89" t="str">
        <f>""</f>
        <v/>
      </c>
      <c r="AZ89" t="str">
        <f>""</f>
        <v/>
      </c>
      <c r="BA89" t="str">
        <f>""</f>
        <v/>
      </c>
      <c r="BB89" t="str">
        <f>""</f>
        <v/>
      </c>
      <c r="BC89" t="str">
        <f>""</f>
        <v/>
      </c>
      <c r="BD89" t="str">
        <f>""</f>
        <v/>
      </c>
      <c r="BE89" t="str">
        <f>""</f>
        <v/>
      </c>
      <c r="BF89" t="str">
        <f>""</f>
        <v/>
      </c>
      <c r="BG89" t="str">
        <f>""</f>
        <v/>
      </c>
      <c r="BH89" t="str">
        <f>""</f>
        <v/>
      </c>
      <c r="BI89" t="str">
        <f>""</f>
        <v/>
      </c>
    </row>
    <row r="90" spans="1:61" x14ac:dyDescent="0.25">
      <c r="A90" t="str">
        <f>$A$35</f>
        <v xml:space="preserve">        Passive Domestic Equity</v>
      </c>
      <c r="B90" t="str">
        <f>$B$35</f>
        <v>.BIATPDE G Index</v>
      </c>
      <c r="C90" t="str">
        <f>$C$35</f>
        <v>PR005</v>
      </c>
      <c r="D90" t="str">
        <f>$D$35</f>
        <v>PX_LAST</v>
      </c>
      <c r="E90" t="str">
        <f>$E$35</f>
        <v>Dynamic</v>
      </c>
      <c r="F90" t="e" cm="1">
        <f t="array" aca="1" ref="F90" ca="1">_xll.BDH($B$35,$C$35,$B$72,$B$73,CONCATENATE("Per=",$B$70),"Dts=H","Dir=H",CONCATENATE("Points=",$B$71),"Sort=R","Days=A","Fill=B",CONCATENATE("FX=", $B$69) )</f>
        <v>#NAME?</v>
      </c>
      <c r="AH90" t="str">
        <f>""</f>
        <v/>
      </c>
      <c r="AI90" t="str">
        <f>""</f>
        <v/>
      </c>
      <c r="AJ90" t="str">
        <f>""</f>
        <v/>
      </c>
      <c r="AK90" t="str">
        <f>""</f>
        <v/>
      </c>
      <c r="AL90" t="str">
        <f>""</f>
        <v/>
      </c>
      <c r="AM90" t="str">
        <f>""</f>
        <v/>
      </c>
      <c r="AN90" t="str">
        <f>""</f>
        <v/>
      </c>
      <c r="AO90" t="str">
        <f>""</f>
        <v/>
      </c>
      <c r="AP90" t="str">
        <f>""</f>
        <v/>
      </c>
      <c r="AQ90" t="str">
        <f>""</f>
        <v/>
      </c>
      <c r="AR90" t="str">
        <f>""</f>
        <v/>
      </c>
      <c r="AS90" t="str">
        <f>""</f>
        <v/>
      </c>
      <c r="AT90" t="str">
        <f>""</f>
        <v/>
      </c>
      <c r="AU90" t="str">
        <f>""</f>
        <v/>
      </c>
      <c r="AV90" t="str">
        <f>""</f>
        <v/>
      </c>
      <c r="AW90" t="str">
        <f>""</f>
        <v/>
      </c>
      <c r="AX90" t="str">
        <f>""</f>
        <v/>
      </c>
      <c r="AY90" t="str">
        <f>""</f>
        <v/>
      </c>
      <c r="AZ90" t="str">
        <f>""</f>
        <v/>
      </c>
      <c r="BA90" t="str">
        <f>""</f>
        <v/>
      </c>
      <c r="BB90" t="str">
        <f>""</f>
        <v/>
      </c>
      <c r="BC90" t="str">
        <f>""</f>
        <v/>
      </c>
      <c r="BD90" t="str">
        <f>""</f>
        <v/>
      </c>
      <c r="BE90" t="str">
        <f>""</f>
        <v/>
      </c>
      <c r="BF90" t="str">
        <f>""</f>
        <v/>
      </c>
      <c r="BG90" t="str">
        <f>""</f>
        <v/>
      </c>
      <c r="BH90" t="str">
        <f>""</f>
        <v/>
      </c>
      <c r="BI90" t="str">
        <f>""</f>
        <v/>
      </c>
    </row>
    <row r="91" spans="1:61" x14ac:dyDescent="0.25">
      <c r="A91" t="str">
        <f>$A$36</f>
        <v xml:space="preserve">            Passive Domestic Equity Mutual Funds</v>
      </c>
      <c r="B91" t="str">
        <f>$B$36</f>
        <v>.BIAMPDE G Index</v>
      </c>
      <c r="C91" t="str">
        <f>$C$36</f>
        <v>PR005</v>
      </c>
      <c r="D91" t="str">
        <f>$D$36</f>
        <v>PX_LAST</v>
      </c>
      <c r="E91" t="str">
        <f>$E$36</f>
        <v>Dynamic</v>
      </c>
      <c r="F91" t="e" cm="1">
        <f t="array" aca="1" ref="F91" ca="1">_xll.BDH($B$36,$C$36,$B$72,$B$73,CONCATENATE("Per=",$B$70),"Dts=H","Dir=H",CONCATENATE("Points=",$B$71),"Sort=R","Days=A","Fill=B",CONCATENATE("FX=", $B$69) )</f>
        <v>#NAME?</v>
      </c>
      <c r="AH91" t="str">
        <f>""</f>
        <v/>
      </c>
      <c r="AI91" t="str">
        <f>""</f>
        <v/>
      </c>
      <c r="AJ91" t="str">
        <f>""</f>
        <v/>
      </c>
      <c r="AK91" t="str">
        <f>""</f>
        <v/>
      </c>
      <c r="AL91" t="str">
        <f>""</f>
        <v/>
      </c>
      <c r="AM91" t="str">
        <f>""</f>
        <v/>
      </c>
      <c r="AN91" t="str">
        <f>""</f>
        <v/>
      </c>
      <c r="AO91" t="str">
        <f>""</f>
        <v/>
      </c>
      <c r="AP91" t="str">
        <f>""</f>
        <v/>
      </c>
      <c r="AQ91" t="str">
        <f>""</f>
        <v/>
      </c>
      <c r="AR91" t="str">
        <f>""</f>
        <v/>
      </c>
      <c r="AS91" t="str">
        <f>""</f>
        <v/>
      </c>
      <c r="AT91" t="str">
        <f>""</f>
        <v/>
      </c>
      <c r="AU91" t="str">
        <f>""</f>
        <v/>
      </c>
      <c r="AV91" t="str">
        <f>""</f>
        <v/>
      </c>
      <c r="AW91" t="str">
        <f>""</f>
        <v/>
      </c>
      <c r="AX91" t="str">
        <f>""</f>
        <v/>
      </c>
      <c r="AY91" t="str">
        <f>""</f>
        <v/>
      </c>
      <c r="AZ91" t="str">
        <f>""</f>
        <v/>
      </c>
      <c r="BA91" t="str">
        <f>""</f>
        <v/>
      </c>
      <c r="BB91" t="str">
        <f>""</f>
        <v/>
      </c>
      <c r="BC91" t="str">
        <f>""</f>
        <v/>
      </c>
      <c r="BD91" t="str">
        <f>""</f>
        <v/>
      </c>
      <c r="BE91" t="str">
        <f>""</f>
        <v/>
      </c>
      <c r="BF91" t="str">
        <f>""</f>
        <v/>
      </c>
      <c r="BG91" t="str">
        <f>""</f>
        <v/>
      </c>
      <c r="BH91" t="str">
        <f>""</f>
        <v/>
      </c>
      <c r="BI91" t="str">
        <f>""</f>
        <v/>
      </c>
    </row>
    <row r="92" spans="1:61" x14ac:dyDescent="0.25">
      <c r="A92" t="str">
        <f>$A$38</f>
        <v xml:space="preserve">        Active Domestic Equity</v>
      </c>
      <c r="B92" t="str">
        <f>$B$38</f>
        <v>.BIATADE G Index</v>
      </c>
      <c r="C92" t="str">
        <f>$C$38</f>
        <v>PR005</v>
      </c>
      <c r="D92" t="str">
        <f>$D$38</f>
        <v>PX_LAST</v>
      </c>
      <c r="E92" t="str">
        <f>$E$38</f>
        <v>Dynamic</v>
      </c>
      <c r="F92" t="e" cm="1">
        <f t="array" aca="1" ref="F92" ca="1">_xll.BDH($B$38,$C$38,$B$72,$B$73,CONCATENATE("Per=",$B$70),"Dts=H","Dir=H",CONCATENATE("Points=",$B$71),"Sort=R","Days=A","Fill=B",CONCATENATE("FX=", $B$69) )</f>
        <v>#NAME?</v>
      </c>
      <c r="AH92" t="str">
        <f>""</f>
        <v/>
      </c>
      <c r="AI92" t="str">
        <f>""</f>
        <v/>
      </c>
      <c r="AJ92" t="str">
        <f>""</f>
        <v/>
      </c>
      <c r="AK92" t="str">
        <f>""</f>
        <v/>
      </c>
      <c r="AL92" t="str">
        <f>""</f>
        <v/>
      </c>
      <c r="AM92" t="str">
        <f>""</f>
        <v/>
      </c>
      <c r="AN92" t="str">
        <f>""</f>
        <v/>
      </c>
      <c r="AO92" t="str">
        <f>""</f>
        <v/>
      </c>
      <c r="AP92" t="str">
        <f>""</f>
        <v/>
      </c>
      <c r="AQ92" t="str">
        <f>""</f>
        <v/>
      </c>
      <c r="AR92" t="str">
        <f>""</f>
        <v/>
      </c>
      <c r="AS92" t="str">
        <f>""</f>
        <v/>
      </c>
      <c r="AT92" t="str">
        <f>""</f>
        <v/>
      </c>
      <c r="AU92" t="str">
        <f>""</f>
        <v/>
      </c>
      <c r="AV92" t="str">
        <f>""</f>
        <v/>
      </c>
      <c r="AW92" t="str">
        <f>""</f>
        <v/>
      </c>
      <c r="AX92" t="str">
        <f>""</f>
        <v/>
      </c>
      <c r="AY92" t="str">
        <f>""</f>
        <v/>
      </c>
      <c r="AZ92" t="str">
        <f>""</f>
        <v/>
      </c>
      <c r="BA92" t="str">
        <f>""</f>
        <v/>
      </c>
      <c r="BB92" t="str">
        <f>""</f>
        <v/>
      </c>
      <c r="BC92" t="str">
        <f>""</f>
        <v/>
      </c>
      <c r="BD92" t="str">
        <f>""</f>
        <v/>
      </c>
      <c r="BE92" t="str">
        <f>""</f>
        <v/>
      </c>
      <c r="BF92" t="str">
        <f>""</f>
        <v/>
      </c>
      <c r="BG92" t="str">
        <f>""</f>
        <v/>
      </c>
      <c r="BH92" t="str">
        <f>""</f>
        <v/>
      </c>
      <c r="BI92" t="str">
        <f>""</f>
        <v/>
      </c>
    </row>
    <row r="93" spans="1:61" x14ac:dyDescent="0.25">
      <c r="A93" t="str">
        <f>$A$39</f>
        <v xml:space="preserve">            Active Domestic Equity Mutual Funds</v>
      </c>
      <c r="B93" t="str">
        <f>$B$39</f>
        <v>.BIAMADE G Index</v>
      </c>
      <c r="C93" t="str">
        <f>$C$39</f>
        <v>PR005</v>
      </c>
      <c r="D93" t="str">
        <f>$D$39</f>
        <v>PX_LAST</v>
      </c>
      <c r="E93" t="str">
        <f>$E$39</f>
        <v>Dynamic</v>
      </c>
      <c r="F93" t="e" cm="1">
        <f t="array" aca="1" ref="F93" ca="1">_xll.BDH($B$39,$C$39,$B$72,$B$73,CONCATENATE("Per=",$B$70),"Dts=H","Dir=H",CONCATENATE("Points=",$B$71),"Sort=R","Days=A","Fill=B",CONCATENATE("FX=", $B$69) )</f>
        <v>#NAME?</v>
      </c>
      <c r="AH93" t="str">
        <f>""</f>
        <v/>
      </c>
      <c r="AI93" t="str">
        <f>""</f>
        <v/>
      </c>
      <c r="AJ93" t="str">
        <f>""</f>
        <v/>
      </c>
      <c r="AK93" t="str">
        <f>""</f>
        <v/>
      </c>
      <c r="AL93" t="str">
        <f>""</f>
        <v/>
      </c>
      <c r="AM93" t="str">
        <f>""</f>
        <v/>
      </c>
      <c r="AN93" t="str">
        <f>""</f>
        <v/>
      </c>
      <c r="AO93" t="str">
        <f>""</f>
        <v/>
      </c>
      <c r="AP93" t="str">
        <f>""</f>
        <v/>
      </c>
      <c r="AQ93" t="str">
        <f>""</f>
        <v/>
      </c>
      <c r="AR93" t="str">
        <f>""</f>
        <v/>
      </c>
      <c r="AS93" t="str">
        <f>""</f>
        <v/>
      </c>
      <c r="AT93" t="str">
        <f>""</f>
        <v/>
      </c>
      <c r="AU93" t="str">
        <f>""</f>
        <v/>
      </c>
      <c r="AV93" t="str">
        <f>""</f>
        <v/>
      </c>
      <c r="AW93" t="str">
        <f>""</f>
        <v/>
      </c>
      <c r="AX93" t="str">
        <f>""</f>
        <v/>
      </c>
      <c r="AY93" t="str">
        <f>""</f>
        <v/>
      </c>
      <c r="AZ93" t="str">
        <f>""</f>
        <v/>
      </c>
      <c r="BA93" t="str">
        <f>""</f>
        <v/>
      </c>
      <c r="BB93" t="str">
        <f>""</f>
        <v/>
      </c>
      <c r="BC93" t="str">
        <f>""</f>
        <v/>
      </c>
      <c r="BD93" t="str">
        <f>""</f>
        <v/>
      </c>
      <c r="BE93" t="str">
        <f>""</f>
        <v/>
      </c>
      <c r="BF93" t="str">
        <f>""</f>
        <v/>
      </c>
      <c r="BG93" t="str">
        <f>""</f>
        <v/>
      </c>
      <c r="BH93" t="str">
        <f>""</f>
        <v/>
      </c>
      <c r="BI93" t="str">
        <f>""</f>
        <v/>
      </c>
    </row>
    <row r="94" spans="1:61" x14ac:dyDescent="0.25">
      <c r="A94" t="str">
        <f>$A$42</f>
        <v xml:space="preserve">        Passive Non-Domestic Equity</v>
      </c>
      <c r="B94" t="str">
        <f>$B$42</f>
        <v>.BIATPNE G Index</v>
      </c>
      <c r="C94" t="str">
        <f>$C$42</f>
        <v>PR005</v>
      </c>
      <c r="D94" t="str">
        <f>$D$42</f>
        <v>PX_LAST</v>
      </c>
      <c r="E94" t="str">
        <f>$E$42</f>
        <v>Dynamic</v>
      </c>
      <c r="F94" t="e" cm="1">
        <f t="array" aca="1" ref="F94" ca="1">_xll.BDH($B$42,$C$42,$B$72,$B$73,CONCATENATE("Per=",$B$70),"Dts=H","Dir=H",CONCATENATE("Points=",$B$71),"Sort=R","Days=A","Fill=B",CONCATENATE("FX=", $B$69) )</f>
        <v>#NAME?</v>
      </c>
      <c r="AH94" t="str">
        <f>""</f>
        <v/>
      </c>
      <c r="AI94" t="str">
        <f>""</f>
        <v/>
      </c>
      <c r="AJ94" t="str">
        <f>""</f>
        <v/>
      </c>
      <c r="AK94" t="str">
        <f>""</f>
        <v/>
      </c>
      <c r="AL94" t="str">
        <f>""</f>
        <v/>
      </c>
      <c r="AM94" t="str">
        <f>""</f>
        <v/>
      </c>
      <c r="AN94" t="str">
        <f>""</f>
        <v/>
      </c>
      <c r="AO94" t="str">
        <f>""</f>
        <v/>
      </c>
      <c r="AP94" t="str">
        <f>""</f>
        <v/>
      </c>
      <c r="AQ94" t="str">
        <f>""</f>
        <v/>
      </c>
      <c r="AR94" t="str">
        <f>""</f>
        <v/>
      </c>
      <c r="AS94" t="str">
        <f>""</f>
        <v/>
      </c>
      <c r="AT94" t="str">
        <f>""</f>
        <v/>
      </c>
      <c r="AU94" t="str">
        <f>""</f>
        <v/>
      </c>
      <c r="AV94" t="str">
        <f>""</f>
        <v/>
      </c>
      <c r="AW94" t="str">
        <f>""</f>
        <v/>
      </c>
      <c r="AX94" t="str">
        <f>""</f>
        <v/>
      </c>
      <c r="AY94" t="str">
        <f>""</f>
        <v/>
      </c>
      <c r="AZ94" t="str">
        <f>""</f>
        <v/>
      </c>
      <c r="BA94" t="str">
        <f>""</f>
        <v/>
      </c>
      <c r="BB94" t="str">
        <f>""</f>
        <v/>
      </c>
      <c r="BC94" t="str">
        <f>""</f>
        <v/>
      </c>
      <c r="BD94" t="str">
        <f>""</f>
        <v/>
      </c>
      <c r="BE94" t="str">
        <f>""</f>
        <v/>
      </c>
      <c r="BF94" t="str">
        <f>""</f>
        <v/>
      </c>
      <c r="BG94" t="str">
        <f>""</f>
        <v/>
      </c>
      <c r="BH94" t="str">
        <f>""</f>
        <v/>
      </c>
      <c r="BI94" t="str">
        <f>""</f>
        <v/>
      </c>
    </row>
    <row r="95" spans="1:61" x14ac:dyDescent="0.25">
      <c r="A95" t="str">
        <f>$A$43</f>
        <v xml:space="preserve">            Passive Non-Domestic Equity Mutual Funds</v>
      </c>
      <c r="B95" t="str">
        <f>$B$43</f>
        <v>.BIAMPNE G Index</v>
      </c>
      <c r="C95" t="str">
        <f>$C$43</f>
        <v>PR005</v>
      </c>
      <c r="D95" t="str">
        <f>$D$43</f>
        <v>PX_LAST</v>
      </c>
      <c r="E95" t="str">
        <f>$E$43</f>
        <v>Dynamic</v>
      </c>
      <c r="F95" t="e" cm="1">
        <f t="array" aca="1" ref="F95" ca="1">_xll.BDH($B$43,$C$43,$B$72,$B$73,CONCATENATE("Per=",$B$70),"Dts=H","Dir=H",CONCATENATE("Points=",$B$71),"Sort=R","Days=A","Fill=B",CONCATENATE("FX=", $B$69) )</f>
        <v>#NAME?</v>
      </c>
      <c r="AH95" t="str">
        <f>""</f>
        <v/>
      </c>
      <c r="AI95" t="str">
        <f>""</f>
        <v/>
      </c>
      <c r="AJ95" t="str">
        <f>""</f>
        <v/>
      </c>
      <c r="AK95" t="str">
        <f>""</f>
        <v/>
      </c>
      <c r="AL95" t="str">
        <f>""</f>
        <v/>
      </c>
      <c r="AM95" t="str">
        <f>""</f>
        <v/>
      </c>
      <c r="AN95" t="str">
        <f>""</f>
        <v/>
      </c>
      <c r="AO95" t="str">
        <f>""</f>
        <v/>
      </c>
      <c r="AP95" t="str">
        <f>""</f>
        <v/>
      </c>
      <c r="AQ95" t="str">
        <f>""</f>
        <v/>
      </c>
      <c r="AR95" t="str">
        <f>""</f>
        <v/>
      </c>
      <c r="AS95" t="str">
        <f>""</f>
        <v/>
      </c>
      <c r="AT95" t="str">
        <f>""</f>
        <v/>
      </c>
      <c r="AU95" t="str">
        <f>""</f>
        <v/>
      </c>
      <c r="AV95" t="str">
        <f>""</f>
        <v/>
      </c>
      <c r="AW95" t="str">
        <f>""</f>
        <v/>
      </c>
      <c r="AX95" t="str">
        <f>""</f>
        <v/>
      </c>
      <c r="AY95" t="str">
        <f>""</f>
        <v/>
      </c>
      <c r="AZ95" t="str">
        <f>""</f>
        <v/>
      </c>
      <c r="BA95" t="str">
        <f>""</f>
        <v/>
      </c>
      <c r="BB95" t="str">
        <f>""</f>
        <v/>
      </c>
      <c r="BC95" t="str">
        <f>""</f>
        <v/>
      </c>
      <c r="BD95" t="str">
        <f>""</f>
        <v/>
      </c>
      <c r="BE95" t="str">
        <f>""</f>
        <v/>
      </c>
      <c r="BF95" t="str">
        <f>""</f>
        <v/>
      </c>
      <c r="BG95" t="str">
        <f>""</f>
        <v/>
      </c>
      <c r="BH95" t="str">
        <f>""</f>
        <v/>
      </c>
      <c r="BI95" t="str">
        <f>""</f>
        <v/>
      </c>
    </row>
    <row r="96" spans="1:61" x14ac:dyDescent="0.25">
      <c r="A96" t="str">
        <f>$A$45</f>
        <v xml:space="preserve">        Active Non-Domestic Equity</v>
      </c>
      <c r="B96" t="str">
        <f>$B$45</f>
        <v>.BIATANE G Index</v>
      </c>
      <c r="C96" t="str">
        <f>$C$45</f>
        <v>PR005</v>
      </c>
      <c r="D96" t="str">
        <f>$D$45</f>
        <v>PX_LAST</v>
      </c>
      <c r="E96" t="str">
        <f>$E$45</f>
        <v>Dynamic</v>
      </c>
      <c r="F96" t="e" cm="1">
        <f t="array" aca="1" ref="F96" ca="1">_xll.BDH($B$45,$C$45,$B$72,$B$73,CONCATENATE("Per=",$B$70),"Dts=H","Dir=H",CONCATENATE("Points=",$B$71),"Sort=R","Days=A","Fill=B",CONCATENATE("FX=", $B$69) )</f>
        <v>#NAME?</v>
      </c>
      <c r="AH96" t="str">
        <f>""</f>
        <v/>
      </c>
      <c r="AI96" t="str">
        <f>""</f>
        <v/>
      </c>
      <c r="AJ96" t="str">
        <f>""</f>
        <v/>
      </c>
      <c r="AK96" t="str">
        <f>""</f>
        <v/>
      </c>
      <c r="AL96" t="str">
        <f>""</f>
        <v/>
      </c>
      <c r="AM96" t="str">
        <f>""</f>
        <v/>
      </c>
      <c r="AN96" t="str">
        <f>""</f>
        <v/>
      </c>
      <c r="AO96" t="str">
        <f>""</f>
        <v/>
      </c>
      <c r="AP96" t="str">
        <f>""</f>
        <v/>
      </c>
      <c r="AQ96" t="str">
        <f>""</f>
        <v/>
      </c>
      <c r="AR96" t="str">
        <f>""</f>
        <v/>
      </c>
      <c r="AS96" t="str">
        <f>""</f>
        <v/>
      </c>
      <c r="AT96" t="str">
        <f>""</f>
        <v/>
      </c>
      <c r="AU96" t="str">
        <f>""</f>
        <v/>
      </c>
      <c r="AV96" t="str">
        <f>""</f>
        <v/>
      </c>
      <c r="AW96" t="str">
        <f>""</f>
        <v/>
      </c>
      <c r="AX96" t="str">
        <f>""</f>
        <v/>
      </c>
      <c r="AY96" t="str">
        <f>""</f>
        <v/>
      </c>
      <c r="AZ96" t="str">
        <f>""</f>
        <v/>
      </c>
      <c r="BA96" t="str">
        <f>""</f>
        <v/>
      </c>
      <c r="BB96" t="str">
        <f>""</f>
        <v/>
      </c>
      <c r="BC96" t="str">
        <f>""</f>
        <v/>
      </c>
      <c r="BD96" t="str">
        <f>""</f>
        <v/>
      </c>
      <c r="BE96" t="str">
        <f>""</f>
        <v/>
      </c>
      <c r="BF96" t="str">
        <f>""</f>
        <v/>
      </c>
      <c r="BG96" t="str">
        <f>""</f>
        <v/>
      </c>
      <c r="BH96" t="str">
        <f>""</f>
        <v/>
      </c>
      <c r="BI96" t="str">
        <f>""</f>
        <v/>
      </c>
    </row>
    <row r="97" spans="1:61" x14ac:dyDescent="0.25">
      <c r="A97" t="str">
        <f>$A$46</f>
        <v xml:space="preserve">            Active Non-Domestic Equity Mutual Funds</v>
      </c>
      <c r="B97" t="str">
        <f>$B$46</f>
        <v>.BIAMANE G Index</v>
      </c>
      <c r="C97" t="str">
        <f>$C$46</f>
        <v>PR005</v>
      </c>
      <c r="D97" t="str">
        <f>$D$46</f>
        <v>PX_LAST</v>
      </c>
      <c r="E97" t="str">
        <f>$E$46</f>
        <v>Dynamic</v>
      </c>
      <c r="F97" t="e" cm="1">
        <f t="array" aca="1" ref="F97" ca="1">_xll.BDH($B$46,$C$46,$B$72,$B$73,CONCATENATE("Per=",$B$70),"Dts=H","Dir=H",CONCATENATE("Points=",$B$71),"Sort=R","Days=A","Fill=B",CONCATENATE("FX=", $B$69) )</f>
        <v>#NAME?</v>
      </c>
      <c r="AH97" t="str">
        <f>""</f>
        <v/>
      </c>
      <c r="AI97" t="str">
        <f>""</f>
        <v/>
      </c>
      <c r="AJ97" t="str">
        <f>""</f>
        <v/>
      </c>
      <c r="AK97" t="str">
        <f>""</f>
        <v/>
      </c>
      <c r="AL97" t="str">
        <f>""</f>
        <v/>
      </c>
      <c r="AM97" t="str">
        <f>""</f>
        <v/>
      </c>
      <c r="AN97" t="str">
        <f>""</f>
        <v/>
      </c>
      <c r="AO97" t="str">
        <f>""</f>
        <v/>
      </c>
      <c r="AP97" t="str">
        <f>""</f>
        <v/>
      </c>
      <c r="AQ97" t="str">
        <f>""</f>
        <v/>
      </c>
      <c r="AR97" t="str">
        <f>""</f>
        <v/>
      </c>
      <c r="AS97" t="str">
        <f>""</f>
        <v/>
      </c>
      <c r="AT97" t="str">
        <f>""</f>
        <v/>
      </c>
      <c r="AU97" t="str">
        <f>""</f>
        <v/>
      </c>
      <c r="AV97" t="str">
        <f>""</f>
        <v/>
      </c>
      <c r="AW97" t="str">
        <f>""</f>
        <v/>
      </c>
      <c r="AX97" t="str">
        <f>""</f>
        <v/>
      </c>
      <c r="AY97" t="str">
        <f>""</f>
        <v/>
      </c>
      <c r="AZ97" t="str">
        <f>""</f>
        <v/>
      </c>
      <c r="BA97" t="str">
        <f>""</f>
        <v/>
      </c>
      <c r="BB97" t="str">
        <f>""</f>
        <v/>
      </c>
      <c r="BC97" t="str">
        <f>""</f>
        <v/>
      </c>
      <c r="BD97" t="str">
        <f>""</f>
        <v/>
      </c>
      <c r="BE97" t="str">
        <f>""</f>
        <v/>
      </c>
      <c r="BF97" t="str">
        <f>""</f>
        <v/>
      </c>
      <c r="BG97" t="str">
        <f>""</f>
        <v/>
      </c>
      <c r="BH97" t="str">
        <f>""</f>
        <v/>
      </c>
      <c r="BI97" t="str">
        <f>""</f>
        <v/>
      </c>
    </row>
    <row r="98" spans="1:61" x14ac:dyDescent="0.25">
      <c r="A98" t="str">
        <f>$A$48</f>
        <v xml:space="preserve">    Money Market Fund Assets</v>
      </c>
      <c r="B98" t="str">
        <f>$B$48</f>
        <v>.BIATMMF G Index</v>
      </c>
      <c r="C98" t="str">
        <f>$C$48</f>
        <v>PR005</v>
      </c>
      <c r="D98" t="str">
        <f>$D$48</f>
        <v>PX_LAST</v>
      </c>
      <c r="E98" t="str">
        <f>$E$48</f>
        <v>Dynamic</v>
      </c>
      <c r="F98" t="e" cm="1">
        <f t="array" aca="1" ref="F98" ca="1">_xll.BDH($B$48,$C$48,$B$72,$B$73,CONCATENATE("Per=",$B$70),"Dts=H","Dir=H",CONCATENATE("Points=",$B$71),"Sort=R","Days=A","Fill=B",CONCATENATE("FX=", $B$69) )</f>
        <v>#NAME?</v>
      </c>
      <c r="AH98" t="str">
        <f>""</f>
        <v/>
      </c>
      <c r="AI98" t="str">
        <f>""</f>
        <v/>
      </c>
      <c r="AJ98" t="str">
        <f>""</f>
        <v/>
      </c>
      <c r="AK98" t="str">
        <f>""</f>
        <v/>
      </c>
      <c r="AL98" t="str">
        <f>""</f>
        <v/>
      </c>
      <c r="AM98" t="str">
        <f>""</f>
        <v/>
      </c>
      <c r="AN98" t="str">
        <f>""</f>
        <v/>
      </c>
      <c r="AO98" t="str">
        <f>""</f>
        <v/>
      </c>
      <c r="AP98" t="str">
        <f>""</f>
        <v/>
      </c>
      <c r="AQ98" t="str">
        <f>""</f>
        <v/>
      </c>
      <c r="AR98" t="str">
        <f>""</f>
        <v/>
      </c>
      <c r="AS98" t="str">
        <f>""</f>
        <v/>
      </c>
      <c r="AT98" t="str">
        <f>""</f>
        <v/>
      </c>
      <c r="AU98" t="str">
        <f>""</f>
        <v/>
      </c>
      <c r="AV98" t="str">
        <f>""</f>
        <v/>
      </c>
      <c r="AW98" t="str">
        <f>""</f>
        <v/>
      </c>
      <c r="AX98" t="str">
        <f>""</f>
        <v/>
      </c>
      <c r="AY98" t="str">
        <f>""</f>
        <v/>
      </c>
      <c r="AZ98" t="str">
        <f>""</f>
        <v/>
      </c>
      <c r="BA98" t="str">
        <f>""</f>
        <v/>
      </c>
      <c r="BB98" t="str">
        <f>""</f>
        <v/>
      </c>
      <c r="BC98" t="str">
        <f>""</f>
        <v/>
      </c>
      <c r="BD98" t="str">
        <f>""</f>
        <v/>
      </c>
      <c r="BE98" t="str">
        <f>""</f>
        <v/>
      </c>
      <c r="BF98" t="str">
        <f>""</f>
        <v/>
      </c>
      <c r="BG98" t="str">
        <f>""</f>
        <v/>
      </c>
      <c r="BH98" t="str">
        <f>""</f>
        <v/>
      </c>
      <c r="BI98" t="str">
        <f>""</f>
        <v/>
      </c>
    </row>
    <row r="99" spans="1:61" x14ac:dyDescent="0.25">
      <c r="A99" t="str">
        <f>""</f>
        <v/>
      </c>
      <c r="B99" t="str">
        <f>""</f>
        <v/>
      </c>
      <c r="C99" t="str">
        <f>""</f>
        <v/>
      </c>
      <c r="D99" t="str">
        <f>""</f>
        <v/>
      </c>
      <c r="E99" t="str">
        <f>""</f>
        <v/>
      </c>
      <c r="AH99" t="str">
        <f>""</f>
        <v/>
      </c>
      <c r="AI99" t="str">
        <f>""</f>
        <v/>
      </c>
      <c r="AJ99" t="str">
        <f>""</f>
        <v/>
      </c>
      <c r="AK99" t="str">
        <f>""</f>
        <v/>
      </c>
      <c r="AL99" t="str">
        <f>""</f>
        <v/>
      </c>
      <c r="AM99" t="str">
        <f>""</f>
        <v/>
      </c>
      <c r="AN99" t="str">
        <f>""</f>
        <v/>
      </c>
      <c r="AO99" t="str">
        <f>""</f>
        <v/>
      </c>
      <c r="AP99" t="str">
        <f>""</f>
        <v/>
      </c>
      <c r="AQ99" t="str">
        <f>""</f>
        <v/>
      </c>
      <c r="AR99" t="str">
        <f>""</f>
        <v/>
      </c>
      <c r="AS99" t="str">
        <f>""</f>
        <v/>
      </c>
      <c r="AT99" t="str">
        <f>""</f>
        <v/>
      </c>
      <c r="AU99" t="str">
        <f>""</f>
        <v/>
      </c>
      <c r="AV99" t="str">
        <f>""</f>
        <v/>
      </c>
      <c r="AW99" t="str">
        <f>""</f>
        <v/>
      </c>
      <c r="AX99" t="str">
        <f>""</f>
        <v/>
      </c>
      <c r="AY99" t="str">
        <f>""</f>
        <v/>
      </c>
      <c r="AZ99" t="str">
        <f>""</f>
        <v/>
      </c>
      <c r="BA99" t="str">
        <f>""</f>
        <v/>
      </c>
      <c r="BB99" t="str">
        <f>""</f>
        <v/>
      </c>
      <c r="BC99" t="str">
        <f>""</f>
        <v/>
      </c>
      <c r="BD99" t="str">
        <f>""</f>
        <v/>
      </c>
      <c r="BE99" t="str">
        <f>""</f>
        <v/>
      </c>
      <c r="BF99" t="str">
        <f>""</f>
        <v/>
      </c>
      <c r="BG99" t="str">
        <f>""</f>
        <v/>
      </c>
      <c r="BH99" t="str">
        <f>""</f>
        <v/>
      </c>
      <c r="BI99" t="str">
        <f>""</f>
        <v/>
      </c>
    </row>
    <row r="100" spans="1:61" x14ac:dyDescent="0.25">
      <c r="A100" t="str">
        <f>""</f>
        <v/>
      </c>
      <c r="B100" t="str">
        <f>""</f>
        <v/>
      </c>
      <c r="C100" t="str">
        <f>""</f>
        <v/>
      </c>
      <c r="D100" t="str">
        <f>""</f>
        <v/>
      </c>
      <c r="E100" t="str">
        <f>""</f>
        <v/>
      </c>
      <c r="AH100" t="str">
        <f>""</f>
        <v/>
      </c>
      <c r="AI100" t="str">
        <f>""</f>
        <v/>
      </c>
      <c r="AJ100" t="str">
        <f>""</f>
        <v/>
      </c>
      <c r="AK100" t="str">
        <f>""</f>
        <v/>
      </c>
      <c r="AL100" t="str">
        <f>""</f>
        <v/>
      </c>
      <c r="AM100" t="str">
        <f>""</f>
        <v/>
      </c>
      <c r="AN100" t="str">
        <f>""</f>
        <v/>
      </c>
      <c r="AO100" t="str">
        <f>""</f>
        <v/>
      </c>
      <c r="AP100" t="str">
        <f>""</f>
        <v/>
      </c>
      <c r="AQ100" t="str">
        <f>""</f>
        <v/>
      </c>
      <c r="AR100" t="str">
        <f>""</f>
        <v/>
      </c>
      <c r="AS100" t="str">
        <f>""</f>
        <v/>
      </c>
      <c r="AT100" t="str">
        <f>""</f>
        <v/>
      </c>
      <c r="AU100" t="str">
        <f>""</f>
        <v/>
      </c>
      <c r="AV100" t="str">
        <f>""</f>
        <v/>
      </c>
      <c r="AW100" t="str">
        <f>""</f>
        <v/>
      </c>
      <c r="AX100" t="str">
        <f>""</f>
        <v/>
      </c>
      <c r="AY100" t="str">
        <f>""</f>
        <v/>
      </c>
      <c r="AZ100" t="str">
        <f>""</f>
        <v/>
      </c>
      <c r="BA100" t="str">
        <f>""</f>
        <v/>
      </c>
      <c r="BB100" t="str">
        <f>""</f>
        <v/>
      </c>
      <c r="BC100" t="str">
        <f>""</f>
        <v/>
      </c>
      <c r="BD100" t="str">
        <f>""</f>
        <v/>
      </c>
      <c r="BE100" t="str">
        <f>""</f>
        <v/>
      </c>
      <c r="BF100" t="str">
        <f>""</f>
        <v/>
      </c>
      <c r="BG100" t="str">
        <f>""</f>
        <v/>
      </c>
      <c r="BH100" t="str">
        <f>""</f>
        <v/>
      </c>
      <c r="BI100" t="str">
        <f>""</f>
        <v/>
      </c>
    </row>
    <row r="101" spans="1:61" x14ac:dyDescent="0.25">
      <c r="A101" t="str">
        <f>""</f>
        <v/>
      </c>
      <c r="B101" t="str">
        <f>""</f>
        <v/>
      </c>
      <c r="C101" t="str">
        <f>""</f>
        <v/>
      </c>
      <c r="D101" t="str">
        <f>""</f>
        <v/>
      </c>
      <c r="E101" t="str">
        <f>""</f>
        <v/>
      </c>
      <c r="AH101" t="str">
        <f>""</f>
        <v/>
      </c>
      <c r="AI101" t="str">
        <f>""</f>
        <v/>
      </c>
      <c r="AJ101" t="str">
        <f>""</f>
        <v/>
      </c>
      <c r="AK101" t="str">
        <f>""</f>
        <v/>
      </c>
      <c r="AL101" t="str">
        <f>""</f>
        <v/>
      </c>
      <c r="AM101" t="str">
        <f>""</f>
        <v/>
      </c>
      <c r="AN101" t="str">
        <f>""</f>
        <v/>
      </c>
      <c r="AO101" t="str">
        <f>""</f>
        <v/>
      </c>
      <c r="AP101" t="str">
        <f>""</f>
        <v/>
      </c>
      <c r="AQ101" t="str">
        <f>""</f>
        <v/>
      </c>
      <c r="AR101" t="str">
        <f>""</f>
        <v/>
      </c>
      <c r="AS101" t="str">
        <f>""</f>
        <v/>
      </c>
      <c r="AT101" t="str">
        <f>""</f>
        <v/>
      </c>
      <c r="AU101" t="str">
        <f>""</f>
        <v/>
      </c>
      <c r="AV101" t="str">
        <f>""</f>
        <v/>
      </c>
      <c r="AW101" t="str">
        <f>""</f>
        <v/>
      </c>
      <c r="AX101" t="str">
        <f>""</f>
        <v/>
      </c>
      <c r="AY101" t="str">
        <f>""</f>
        <v/>
      </c>
      <c r="AZ101" t="str">
        <f>""</f>
        <v/>
      </c>
      <c r="BA101" t="str">
        <f>""</f>
        <v/>
      </c>
      <c r="BB101" t="str">
        <f>""</f>
        <v/>
      </c>
      <c r="BC101" t="str">
        <f>""</f>
        <v/>
      </c>
      <c r="BD101" t="str">
        <f>""</f>
        <v/>
      </c>
      <c r="BE101" t="str">
        <f>""</f>
        <v/>
      </c>
      <c r="BF101" t="str">
        <f>""</f>
        <v/>
      </c>
      <c r="BG101" t="str">
        <f>""</f>
        <v/>
      </c>
      <c r="BH101" t="str">
        <f>""</f>
        <v/>
      </c>
      <c r="BI101" t="str">
        <f>""</f>
        <v/>
      </c>
    </row>
    <row r="102" spans="1:61" x14ac:dyDescent="0.25">
      <c r="A102" t="str">
        <f>""</f>
        <v/>
      </c>
      <c r="B102" t="str">
        <f>""</f>
        <v/>
      </c>
      <c r="C102" t="str">
        <f>""</f>
        <v/>
      </c>
      <c r="D102" t="str">
        <f>""</f>
        <v/>
      </c>
      <c r="E102" t="str">
        <f>""</f>
        <v/>
      </c>
      <c r="AH102" t="str">
        <f>""</f>
        <v/>
      </c>
      <c r="AI102" t="str">
        <f>""</f>
        <v/>
      </c>
      <c r="AJ102" t="str">
        <f>""</f>
        <v/>
      </c>
      <c r="AK102" t="str">
        <f>""</f>
        <v/>
      </c>
      <c r="AL102" t="str">
        <f>""</f>
        <v/>
      </c>
      <c r="AM102" t="str">
        <f>""</f>
        <v/>
      </c>
      <c r="AN102" t="str">
        <f>""</f>
        <v/>
      </c>
      <c r="AO102" t="str">
        <f>""</f>
        <v/>
      </c>
      <c r="AP102" t="str">
        <f>""</f>
        <v/>
      </c>
      <c r="AQ102" t="str">
        <f>""</f>
        <v/>
      </c>
      <c r="AR102" t="str">
        <f>""</f>
        <v/>
      </c>
      <c r="AS102" t="str">
        <f>""</f>
        <v/>
      </c>
      <c r="AT102" t="str">
        <f>""</f>
        <v/>
      </c>
      <c r="AU102" t="str">
        <f>""</f>
        <v/>
      </c>
      <c r="AV102" t="str">
        <f>""</f>
        <v/>
      </c>
      <c r="AW102" t="str">
        <f>""</f>
        <v/>
      </c>
      <c r="AX102" t="str">
        <f>""</f>
        <v/>
      </c>
      <c r="AY102" t="str">
        <f>""</f>
        <v/>
      </c>
      <c r="AZ102" t="str">
        <f>""</f>
        <v/>
      </c>
      <c r="BA102" t="str">
        <f>""</f>
        <v/>
      </c>
      <c r="BB102" t="str">
        <f>""</f>
        <v/>
      </c>
      <c r="BC102" t="str">
        <f>""</f>
        <v/>
      </c>
      <c r="BD102" t="str">
        <f>""</f>
        <v/>
      </c>
      <c r="BE102" t="str">
        <f>""</f>
        <v/>
      </c>
      <c r="BF102" t="str">
        <f>""</f>
        <v/>
      </c>
      <c r="BG102" t="str">
        <f>""</f>
        <v/>
      </c>
      <c r="BH102" t="str">
        <f>""</f>
        <v/>
      </c>
      <c r="BI102" t="str">
        <f>""</f>
        <v/>
      </c>
    </row>
    <row r="103" spans="1:61" x14ac:dyDescent="0.25">
      <c r="A103" t="str">
        <f>""</f>
        <v/>
      </c>
      <c r="B103" t="str">
        <f>""</f>
        <v/>
      </c>
      <c r="C103" t="str">
        <f>""</f>
        <v/>
      </c>
      <c r="D103" t="str">
        <f>""</f>
        <v/>
      </c>
      <c r="E103" t="str">
        <f>""</f>
        <v/>
      </c>
      <c r="AH103" t="str">
        <f>""</f>
        <v/>
      </c>
      <c r="AI103" t="str">
        <f>""</f>
        <v/>
      </c>
      <c r="AJ103" t="str">
        <f>""</f>
        <v/>
      </c>
      <c r="AK103" t="str">
        <f>""</f>
        <v/>
      </c>
      <c r="AL103" t="str">
        <f>""</f>
        <v/>
      </c>
      <c r="AM103" t="str">
        <f>""</f>
        <v/>
      </c>
      <c r="AN103" t="str">
        <f>""</f>
        <v/>
      </c>
      <c r="AO103" t="str">
        <f>""</f>
        <v/>
      </c>
      <c r="AP103" t="str">
        <f>""</f>
        <v/>
      </c>
      <c r="AQ103" t="str">
        <f>""</f>
        <v/>
      </c>
      <c r="AR103" t="str">
        <f>""</f>
        <v/>
      </c>
      <c r="AS103" t="str">
        <f>""</f>
        <v/>
      </c>
      <c r="AT103" t="str">
        <f>""</f>
        <v/>
      </c>
      <c r="AU103" t="str">
        <f>""</f>
        <v/>
      </c>
      <c r="AV103" t="str">
        <f>""</f>
        <v/>
      </c>
      <c r="AW103" t="str">
        <f>""</f>
        <v/>
      </c>
      <c r="AX103" t="str">
        <f>""</f>
        <v/>
      </c>
      <c r="AY103" t="str">
        <f>""</f>
        <v/>
      </c>
      <c r="AZ103" t="str">
        <f>""</f>
        <v/>
      </c>
      <c r="BA103" t="str">
        <f>""</f>
        <v/>
      </c>
      <c r="BB103" t="str">
        <f>""</f>
        <v/>
      </c>
      <c r="BC103" t="str">
        <f>""</f>
        <v/>
      </c>
      <c r="BD103" t="str">
        <f>""</f>
        <v/>
      </c>
      <c r="BE103" t="str">
        <f>""</f>
        <v/>
      </c>
      <c r="BF103" t="str">
        <f>""</f>
        <v/>
      </c>
      <c r="BG103" t="str">
        <f>""</f>
        <v/>
      </c>
      <c r="BH103" t="str">
        <f>""</f>
        <v/>
      </c>
      <c r="BI103" t="str">
        <f>""</f>
        <v/>
      </c>
    </row>
    <row r="104" spans="1:61" x14ac:dyDescent="0.25">
      <c r="A104" t="str">
        <f>"~~~~~~~~~~~~~~~~~~~~~"</f>
        <v>~~~~~~~~~~~~~~~~~~~~~</v>
      </c>
      <c r="B104" t="str">
        <f>"~~~~~~~~~~~~~~~~~~~~~"</f>
        <v>~~~~~~~~~~~~~~~~~~~~~</v>
      </c>
      <c r="C104" t="str">
        <f>"~~~~~~~~~~~~~~~~~~~~~"</f>
        <v>~~~~~~~~~~~~~~~~~~~~~</v>
      </c>
      <c r="D104" t="str">
        <f>"~~~~~~~~~~~~~~~~~~~~~"</f>
        <v>~~~~~~~~~~~~~~~~~~~~~</v>
      </c>
      <c r="E104" t="str">
        <f>"~~~~~~~~~~~~~~~~~~~~~"</f>
        <v>~~~~~~~~~~~~~~~~~~~~~</v>
      </c>
      <c r="AH104" t="str">
        <f>""</f>
        <v/>
      </c>
      <c r="AI104" t="str">
        <f>""</f>
        <v/>
      </c>
      <c r="AJ104" t="str">
        <f>""</f>
        <v/>
      </c>
      <c r="AK104" t="str">
        <f>""</f>
        <v/>
      </c>
      <c r="AL104" t="str">
        <f>""</f>
        <v/>
      </c>
      <c r="AM104" t="str">
        <f>""</f>
        <v/>
      </c>
      <c r="AN104" t="str">
        <f>""</f>
        <v/>
      </c>
      <c r="AO104" t="str">
        <f>""</f>
        <v/>
      </c>
      <c r="AP104" t="str">
        <f>""</f>
        <v/>
      </c>
      <c r="AQ104" t="str">
        <f>""</f>
        <v/>
      </c>
      <c r="AR104" t="str">
        <f>""</f>
        <v/>
      </c>
      <c r="AS104" t="str">
        <f>""</f>
        <v/>
      </c>
      <c r="AT104" t="str">
        <f>""</f>
        <v/>
      </c>
      <c r="AU104" t="str">
        <f>""</f>
        <v/>
      </c>
      <c r="AV104" t="str">
        <f>""</f>
        <v/>
      </c>
      <c r="AW104" t="str">
        <f>""</f>
        <v/>
      </c>
      <c r="AX104" t="str">
        <f>""</f>
        <v/>
      </c>
      <c r="AY104" t="str">
        <f>""</f>
        <v/>
      </c>
      <c r="AZ104" t="str">
        <f>""</f>
        <v/>
      </c>
      <c r="BA104" t="str">
        <f>""</f>
        <v/>
      </c>
      <c r="BB104" t="str">
        <f>""</f>
        <v/>
      </c>
      <c r="BC104" t="str">
        <f>""</f>
        <v/>
      </c>
      <c r="BD104" t="str">
        <f>""</f>
        <v/>
      </c>
      <c r="BE104" t="str">
        <f>""</f>
        <v/>
      </c>
      <c r="BF104" t="str">
        <f>""</f>
        <v/>
      </c>
      <c r="BG104" t="str">
        <f>""</f>
        <v/>
      </c>
      <c r="BH104" t="str">
        <f>""</f>
        <v/>
      </c>
      <c r="BI104" t="str">
        <f>""</f>
        <v/>
      </c>
    </row>
    <row r="105" spans="1:61" x14ac:dyDescent="0.25">
      <c r="A105" t="str">
        <f>"Rows below for column date calculation"</f>
        <v>Rows below for column date calculation</v>
      </c>
      <c r="AH105" t="str">
        <f>""</f>
        <v/>
      </c>
      <c r="AI105" t="str">
        <f>""</f>
        <v/>
      </c>
      <c r="AJ105" t="str">
        <f>""</f>
        <v/>
      </c>
      <c r="AK105" t="str">
        <f>""</f>
        <v/>
      </c>
      <c r="AL105" t="str">
        <f>""</f>
        <v/>
      </c>
      <c r="AM105" t="str">
        <f>""</f>
        <v/>
      </c>
      <c r="AN105" t="str">
        <f>""</f>
        <v/>
      </c>
      <c r="AO105" t="str">
        <f>""</f>
        <v/>
      </c>
      <c r="AP105" t="str">
        <f>""</f>
        <v/>
      </c>
      <c r="AQ105" t="str">
        <f>""</f>
        <v/>
      </c>
      <c r="AR105" t="str">
        <f>""</f>
        <v/>
      </c>
      <c r="AS105" t="str">
        <f>""</f>
        <v/>
      </c>
      <c r="AT105" t="str">
        <f>""</f>
        <v/>
      </c>
      <c r="AU105" t="str">
        <f>""</f>
        <v/>
      </c>
      <c r="AV105" t="str">
        <f>""</f>
        <v/>
      </c>
      <c r="AW105" t="str">
        <f>""</f>
        <v/>
      </c>
      <c r="AX105" t="str">
        <f>""</f>
        <v/>
      </c>
      <c r="AY105" t="str">
        <f>""</f>
        <v/>
      </c>
      <c r="AZ105" t="str">
        <f>""</f>
        <v/>
      </c>
      <c r="BA105" t="str">
        <f>""</f>
        <v/>
      </c>
      <c r="BB105" t="str">
        <f>""</f>
        <v/>
      </c>
      <c r="BC105" t="str">
        <f>""</f>
        <v/>
      </c>
      <c r="BD105" t="str">
        <f>""</f>
        <v/>
      </c>
      <c r="BE105" t="str">
        <f>""</f>
        <v/>
      </c>
      <c r="BF105" t="str">
        <f>""</f>
        <v/>
      </c>
      <c r="BG105" t="str">
        <f>""</f>
        <v/>
      </c>
      <c r="BH105" t="str">
        <f>""</f>
        <v/>
      </c>
      <c r="BI105" t="str">
        <f>""</f>
        <v/>
      </c>
    </row>
    <row r="106" spans="1:61" x14ac:dyDescent="0.25">
      <c r="A106" t="str">
        <f>"Downloaded at"</f>
        <v>Downloaded at</v>
      </c>
      <c r="B106">
        <f>DATE(2026, 2,12)</f>
        <v>46065</v>
      </c>
      <c r="C106" t="str">
        <f>""</f>
        <v/>
      </c>
      <c r="D106" t="str">
        <f>""</f>
        <v/>
      </c>
      <c r="E106" t="str">
        <f>""</f>
        <v/>
      </c>
      <c r="AH106" t="str">
        <f>""</f>
        <v/>
      </c>
      <c r="AI106" t="str">
        <f>""</f>
        <v/>
      </c>
      <c r="AJ106" t="str">
        <f>""</f>
        <v/>
      </c>
      <c r="AK106" t="str">
        <f>""</f>
        <v/>
      </c>
      <c r="AL106" t="str">
        <f>""</f>
        <v/>
      </c>
      <c r="AM106" t="str">
        <f>""</f>
        <v/>
      </c>
      <c r="AN106" t="str">
        <f>""</f>
        <v/>
      </c>
      <c r="AO106" t="str">
        <f>""</f>
        <v/>
      </c>
      <c r="AP106" t="str">
        <f>""</f>
        <v/>
      </c>
      <c r="AQ106" t="str">
        <f>""</f>
        <v/>
      </c>
      <c r="AR106" t="str">
        <f>""</f>
        <v/>
      </c>
      <c r="AS106" t="str">
        <f>""</f>
        <v/>
      </c>
      <c r="AT106" t="str">
        <f>""</f>
        <v/>
      </c>
      <c r="AU106" t="str">
        <f>""</f>
        <v/>
      </c>
      <c r="AV106" t="str">
        <f>""</f>
        <v/>
      </c>
      <c r="AW106" t="str">
        <f>""</f>
        <v/>
      </c>
      <c r="AX106" t="str">
        <f>""</f>
        <v/>
      </c>
      <c r="AY106" t="str">
        <f>""</f>
        <v/>
      </c>
      <c r="AZ106" t="str">
        <f>""</f>
        <v/>
      </c>
      <c r="BA106" t="str">
        <f>""</f>
        <v/>
      </c>
      <c r="BB106" t="str">
        <f>""</f>
        <v/>
      </c>
      <c r="BC106" t="str">
        <f>""</f>
        <v/>
      </c>
      <c r="BD106" t="str">
        <f>""</f>
        <v/>
      </c>
      <c r="BE106" t="str">
        <f>""</f>
        <v/>
      </c>
      <c r="BF106" t="str">
        <f>""</f>
        <v/>
      </c>
      <c r="BG106" t="str">
        <f>""</f>
        <v/>
      </c>
      <c r="BH106" t="str">
        <f>""</f>
        <v/>
      </c>
      <c r="BI106" t="str">
        <f>""</f>
        <v/>
      </c>
    </row>
    <row r="107" spans="1:61" x14ac:dyDescent="0.25">
      <c r="A107" t="str">
        <f>"This is End Date"</f>
        <v>This is End Date</v>
      </c>
      <c r="B107">
        <f ca="1">$B$73</f>
        <v>46066</v>
      </c>
      <c r="C107" t="str">
        <f>""</f>
        <v/>
      </c>
      <c r="D107" t="str">
        <f>""</f>
        <v/>
      </c>
      <c r="E107" t="str">
        <f>""</f>
        <v/>
      </c>
      <c r="AH107" t="str">
        <f>""</f>
        <v/>
      </c>
      <c r="AI107" t="str">
        <f>""</f>
        <v/>
      </c>
      <c r="AJ107" t="str">
        <f>""</f>
        <v/>
      </c>
      <c r="AK107" t="str">
        <f>""</f>
        <v/>
      </c>
      <c r="AL107" t="str">
        <f>""</f>
        <v/>
      </c>
      <c r="AM107" t="str">
        <f>""</f>
        <v/>
      </c>
      <c r="AN107" t="str">
        <f>""</f>
        <v/>
      </c>
      <c r="AO107" t="str">
        <f>""</f>
        <v/>
      </c>
      <c r="AP107" t="str">
        <f>""</f>
        <v/>
      </c>
      <c r="AQ107" t="str">
        <f>""</f>
        <v/>
      </c>
      <c r="AR107" t="str">
        <f>""</f>
        <v/>
      </c>
      <c r="AS107" t="str">
        <f>""</f>
        <v/>
      </c>
      <c r="AT107" t="str">
        <f>""</f>
        <v/>
      </c>
      <c r="AU107" t="str">
        <f>""</f>
        <v/>
      </c>
      <c r="AV107" t="str">
        <f>""</f>
        <v/>
      </c>
      <c r="AW107" t="str">
        <f>""</f>
        <v/>
      </c>
      <c r="AX107" t="str">
        <f>""</f>
        <v/>
      </c>
      <c r="AY107" t="str">
        <f>""</f>
        <v/>
      </c>
      <c r="AZ107" t="str">
        <f>""</f>
        <v/>
      </c>
      <c r="BA107" t="str">
        <f>""</f>
        <v/>
      </c>
      <c r="BB107" t="str">
        <f>""</f>
        <v/>
      </c>
      <c r="BC107" t="str">
        <f>""</f>
        <v/>
      </c>
      <c r="BD107" t="str">
        <f>""</f>
        <v/>
      </c>
      <c r="BE107" t="str">
        <f>""</f>
        <v/>
      </c>
      <c r="BF107" t="str">
        <f>""</f>
        <v/>
      </c>
      <c r="BG107" t="str">
        <f>""</f>
        <v/>
      </c>
      <c r="BH107" t="str">
        <f>""</f>
        <v/>
      </c>
      <c r="BI107" t="str">
        <f>""</f>
        <v/>
      </c>
    </row>
    <row r="108" spans="1:61" x14ac:dyDescent="0.25">
      <c r="A108" t="str">
        <f>"Description"</f>
        <v>Description</v>
      </c>
      <c r="B108" t="str">
        <f>"Ticker"</f>
        <v>Ticker</v>
      </c>
      <c r="C108" t="str">
        <f>"Field ID"</f>
        <v>Field ID</v>
      </c>
      <c r="D108" t="str">
        <f>"Field Mnemonic"</f>
        <v>Field Mnemonic</v>
      </c>
      <c r="E108" t="str">
        <f>"Data State"</f>
        <v>Data State</v>
      </c>
      <c r="AH108" t="str">
        <f>""</f>
        <v/>
      </c>
      <c r="AI108" t="str">
        <f>""</f>
        <v/>
      </c>
      <c r="AJ108" t="str">
        <f>""</f>
        <v/>
      </c>
      <c r="AK108" t="str">
        <f>""</f>
        <v/>
      </c>
      <c r="AL108" t="str">
        <f>""</f>
        <v/>
      </c>
      <c r="AM108" t="str">
        <f>""</f>
        <v/>
      </c>
      <c r="AN108" t="str">
        <f>""</f>
        <v/>
      </c>
      <c r="AO108" t="str">
        <f>""</f>
        <v/>
      </c>
      <c r="AP108" t="str">
        <f>""</f>
        <v/>
      </c>
      <c r="AQ108" t="str">
        <f>""</f>
        <v/>
      </c>
      <c r="AR108" t="str">
        <f>""</f>
        <v/>
      </c>
      <c r="AS108" t="str">
        <f>""</f>
        <v/>
      </c>
      <c r="AT108" t="str">
        <f>""</f>
        <v/>
      </c>
      <c r="AU108" t="str">
        <f>""</f>
        <v/>
      </c>
      <c r="AV108" t="str">
        <f>""</f>
        <v/>
      </c>
      <c r="AW108" t="str">
        <f>""</f>
        <v/>
      </c>
      <c r="AX108" t="str">
        <f>""</f>
        <v/>
      </c>
      <c r="AY108" t="str">
        <f>""</f>
        <v/>
      </c>
      <c r="AZ108" t="str">
        <f>""</f>
        <v/>
      </c>
      <c r="BA108" t="str">
        <f>""</f>
        <v/>
      </c>
      <c r="BB108" t="str">
        <f>""</f>
        <v/>
      </c>
      <c r="BC108" t="str">
        <f>""</f>
        <v/>
      </c>
      <c r="BD108" t="str">
        <f>""</f>
        <v/>
      </c>
      <c r="BE108" t="str">
        <f>""</f>
        <v/>
      </c>
      <c r="BF108" t="str">
        <f>""</f>
        <v/>
      </c>
      <c r="BG108" t="str">
        <f>""</f>
        <v/>
      </c>
      <c r="BH108" t="str">
        <f>""</f>
        <v/>
      </c>
      <c r="BI108" t="str">
        <f>""</f>
        <v/>
      </c>
    </row>
    <row r="109" spans="1:61" x14ac:dyDescent="0.25">
      <c r="A109" t="str">
        <f>"Snapshot Date"</f>
        <v>Snapshot Date</v>
      </c>
      <c r="B109">
        <f>DATE(2026, 2,12)</f>
        <v>46065</v>
      </c>
      <c r="C109" t="str">
        <f>""</f>
        <v/>
      </c>
      <c r="D109" t="str">
        <f>""</f>
        <v/>
      </c>
      <c r="E109" t="str">
        <f>""</f>
        <v/>
      </c>
      <c r="AH109" t="str">
        <f>""</f>
        <v/>
      </c>
      <c r="AI109" t="str">
        <f>""</f>
        <v/>
      </c>
      <c r="AJ109" t="str">
        <f>""</f>
        <v/>
      </c>
      <c r="AK109" t="str">
        <f>""</f>
        <v/>
      </c>
      <c r="AL109" t="str">
        <f>""</f>
        <v/>
      </c>
      <c r="AM109" t="str">
        <f>""</f>
        <v/>
      </c>
      <c r="AN109" t="str">
        <f>""</f>
        <v/>
      </c>
      <c r="AO109" t="str">
        <f>""</f>
        <v/>
      </c>
      <c r="AP109" t="str">
        <f>""</f>
        <v/>
      </c>
      <c r="AQ109" t="str">
        <f>""</f>
        <v/>
      </c>
      <c r="AR109" t="str">
        <f>""</f>
        <v/>
      </c>
      <c r="AS109" t="str">
        <f>""</f>
        <v/>
      </c>
      <c r="AT109" t="str">
        <f>""</f>
        <v/>
      </c>
      <c r="AU109" t="str">
        <f>""</f>
        <v/>
      </c>
      <c r="AV109" t="str">
        <f>""</f>
        <v/>
      </c>
      <c r="AW109" t="str">
        <f>""</f>
        <v/>
      </c>
      <c r="AX109" t="str">
        <f>""</f>
        <v/>
      </c>
      <c r="AY109" t="str">
        <f>""</f>
        <v/>
      </c>
      <c r="AZ109" t="str">
        <f>""</f>
        <v/>
      </c>
      <c r="BA109" t="str">
        <f>""</f>
        <v/>
      </c>
      <c r="BB109" t="str">
        <f>""</f>
        <v/>
      </c>
      <c r="BC109" t="str">
        <f>""</f>
        <v/>
      </c>
      <c r="BD109" t="str">
        <f>""</f>
        <v/>
      </c>
      <c r="BE109" t="str">
        <f>""</f>
        <v/>
      </c>
      <c r="BF109" t="str">
        <f>""</f>
        <v/>
      </c>
      <c r="BG109" t="str">
        <f>""</f>
        <v/>
      </c>
      <c r="BH109" t="str">
        <f>""</f>
        <v/>
      </c>
      <c r="BI109" t="str">
        <f>""</f>
        <v/>
      </c>
    </row>
    <row r="110" spans="1:61" x14ac:dyDescent="0.25">
      <c r="A110" t="str">
        <f>"Snapshot header"</f>
        <v>Snapshot header</v>
      </c>
      <c r="B110">
        <f>2</f>
        <v>2</v>
      </c>
      <c r="C110" t="str">
        <f>"2025 S2"</f>
        <v>2025 S2</v>
      </c>
      <c r="D110" t="str">
        <f>"2025 S1"</f>
        <v>2025 S1</v>
      </c>
      <c r="E110" t="str">
        <f>"2024 S2"</f>
        <v>2024 S2</v>
      </c>
      <c r="F110" t="str">
        <f>"2024 S1"</f>
        <v>2024 S1</v>
      </c>
      <c r="G110" t="str">
        <f>"2023 S2"</f>
        <v>2023 S2</v>
      </c>
      <c r="H110" t="str">
        <f>"2023 S1"</f>
        <v>2023 S1</v>
      </c>
      <c r="I110" t="str">
        <f>"2022 S2"</f>
        <v>2022 S2</v>
      </c>
      <c r="J110" t="str">
        <f>"2022 S1"</f>
        <v>2022 S1</v>
      </c>
      <c r="K110" t="str">
        <f>"2021 S2"</f>
        <v>2021 S2</v>
      </c>
      <c r="L110" t="str">
        <f>"2021 S1"</f>
        <v>2021 S1</v>
      </c>
      <c r="M110" t="str">
        <f>"2020 S2"</f>
        <v>2020 S2</v>
      </c>
      <c r="N110" t="str">
        <f>"2020 S1"</f>
        <v>2020 S1</v>
      </c>
      <c r="O110" t="str">
        <f>"2019 S2"</f>
        <v>2019 S2</v>
      </c>
      <c r="P110" t="str">
        <f>"2019 S1"</f>
        <v>2019 S1</v>
      </c>
      <c r="Q110" t="str">
        <f>"2018 S2"</f>
        <v>2018 S2</v>
      </c>
      <c r="R110" t="str">
        <f>"2018 S1"</f>
        <v>2018 S1</v>
      </c>
      <c r="S110" t="str">
        <f>"2017 S2"</f>
        <v>2017 S2</v>
      </c>
      <c r="T110" t="str">
        <f>"2017 S1"</f>
        <v>2017 S1</v>
      </c>
      <c r="U110" t="str">
        <f>"2016 S2"</f>
        <v>2016 S2</v>
      </c>
      <c r="V110" t="str">
        <f>"2016 S1"</f>
        <v>2016 S1</v>
      </c>
      <c r="W110" t="str">
        <f>"2015 S2"</f>
        <v>2015 S2</v>
      </c>
      <c r="X110" t="str">
        <f>"2015 S1"</f>
        <v>2015 S1</v>
      </c>
      <c r="Y110" t="str">
        <f>"2014 S2"</f>
        <v>2014 S2</v>
      </c>
      <c r="Z110" t="str">
        <f>"2014 S1"</f>
        <v>2014 S1</v>
      </c>
      <c r="AA110" t="str">
        <f>"2013 S2"</f>
        <v>2013 S2</v>
      </c>
      <c r="AB110" t="str">
        <f>"2013 S1"</f>
        <v>2013 S1</v>
      </c>
      <c r="AC110" t="str">
        <f>"2012 S2"</f>
        <v>2012 S2</v>
      </c>
      <c r="AD110" t="str">
        <f>"2012 S1"</f>
        <v>2012 S1</v>
      </c>
      <c r="AH110" t="str">
        <f>""</f>
        <v/>
      </c>
      <c r="AI110" t="str">
        <f>""</f>
        <v/>
      </c>
      <c r="AJ110" t="str">
        <f>""</f>
        <v/>
      </c>
      <c r="AK110" t="str">
        <f>""</f>
        <v/>
      </c>
      <c r="AL110" t="str">
        <f>""</f>
        <v/>
      </c>
      <c r="AM110" t="str">
        <f>""</f>
        <v/>
      </c>
      <c r="AN110" t="str">
        <f>""</f>
        <v/>
      </c>
      <c r="AO110" t="str">
        <f>""</f>
        <v/>
      </c>
      <c r="AP110" t="str">
        <f>""</f>
        <v/>
      </c>
      <c r="AQ110" t="str">
        <f>""</f>
        <v/>
      </c>
      <c r="AR110" t="str">
        <f>""</f>
        <v/>
      </c>
      <c r="AS110" t="str">
        <f>""</f>
        <v/>
      </c>
      <c r="AT110" t="str">
        <f>""</f>
        <v/>
      </c>
      <c r="AU110" t="str">
        <f>""</f>
        <v/>
      </c>
      <c r="AV110" t="str">
        <f>""</f>
        <v/>
      </c>
      <c r="AW110" t="str">
        <f>""</f>
        <v/>
      </c>
      <c r="AX110" t="str">
        <f>""</f>
        <v/>
      </c>
      <c r="AY110" t="str">
        <f>""</f>
        <v/>
      </c>
      <c r="AZ110" t="str">
        <f>""</f>
        <v/>
      </c>
      <c r="BA110" t="str">
        <f>""</f>
        <v/>
      </c>
      <c r="BB110" t="str">
        <f>""</f>
        <v/>
      </c>
      <c r="BC110" t="str">
        <f>""</f>
        <v/>
      </c>
      <c r="BD110" t="str">
        <f>""</f>
        <v/>
      </c>
      <c r="BE110" t="str">
        <f>""</f>
        <v/>
      </c>
      <c r="BF110" t="str">
        <f>""</f>
        <v/>
      </c>
      <c r="BG110" t="str">
        <f>""</f>
        <v/>
      </c>
      <c r="BH110" t="str">
        <f>""</f>
        <v/>
      </c>
      <c r="BI110" t="str">
        <f>""</f>
        <v/>
      </c>
    </row>
    <row r="111" spans="1:61" x14ac:dyDescent="0.25">
      <c r="A111" t="str">
        <f>"BDH snapshot header0"</f>
        <v>BDH snapshot header0</v>
      </c>
      <c r="B111">
        <f ca="1">IF(OR(ISERROR($C$111),ISBLANK($C$111),ISNUMBER(SEARCH("N/A",$C$111) ),ISERROR($C$112),ISBLANK($C$112)),0,1)</f>
        <v>0</v>
      </c>
      <c r="C111" t="e" cm="1">
        <f t="array" aca="1" ref="C111" ca="1">_xll.BDH($B$76,$C$76,$B$72,$B$109,"PER=CS","Dts=S","DtFmt=FI", "rows=2","Dir=H","Points=28","Sort=R","Days=A","Fill=B","FX=USD" )</f>
        <v>#NAME?</v>
      </c>
      <c r="AH111" t="str">
        <f>""</f>
        <v/>
      </c>
      <c r="AI111" t="str">
        <f>""</f>
        <v/>
      </c>
      <c r="AJ111" t="str">
        <f>""</f>
        <v/>
      </c>
      <c r="AK111" t="str">
        <f>""</f>
        <v/>
      </c>
      <c r="AL111" t="str">
        <f>""</f>
        <v/>
      </c>
      <c r="AM111" t="str">
        <f>""</f>
        <v/>
      </c>
      <c r="AN111" t="str">
        <f>""</f>
        <v/>
      </c>
      <c r="AO111" t="str">
        <f>""</f>
        <v/>
      </c>
      <c r="AP111" t="str">
        <f>""</f>
        <v/>
      </c>
      <c r="AQ111" t="str">
        <f>""</f>
        <v/>
      </c>
      <c r="AR111" t="str">
        <f>""</f>
        <v/>
      </c>
      <c r="AS111" t="str">
        <f>""</f>
        <v/>
      </c>
      <c r="AT111" t="str">
        <f>""</f>
        <v/>
      </c>
      <c r="AU111" t="str">
        <f>""</f>
        <v/>
      </c>
      <c r="AV111" t="str">
        <f>""</f>
        <v/>
      </c>
      <c r="AW111" t="str">
        <f>""</f>
        <v/>
      </c>
      <c r="AX111" t="str">
        <f>""</f>
        <v/>
      </c>
      <c r="AY111" t="str">
        <f>""</f>
        <v/>
      </c>
      <c r="AZ111" t="str">
        <f>""</f>
        <v/>
      </c>
      <c r="BA111" t="str">
        <f>""</f>
        <v/>
      </c>
      <c r="BB111" t="str">
        <f>""</f>
        <v/>
      </c>
      <c r="BC111" t="str">
        <f>""</f>
        <v/>
      </c>
      <c r="BD111" t="str">
        <f>""</f>
        <v/>
      </c>
      <c r="BE111" t="str">
        <f>""</f>
        <v/>
      </c>
      <c r="BF111" t="str">
        <f>""</f>
        <v/>
      </c>
      <c r="BG111" t="str">
        <f>""</f>
        <v/>
      </c>
      <c r="BH111" t="str">
        <f>""</f>
        <v/>
      </c>
      <c r="BI111" t="str">
        <f>""</f>
        <v/>
      </c>
    </row>
    <row r="112" spans="1:61" x14ac:dyDescent="0.25">
      <c r="A112" t="str">
        <f>"BDH snapshot result0"</f>
        <v>BDH snapshot result0</v>
      </c>
      <c r="AH112" t="str">
        <f>""</f>
        <v/>
      </c>
      <c r="AI112" t="str">
        <f>""</f>
        <v/>
      </c>
      <c r="AJ112" t="str">
        <f>""</f>
        <v/>
      </c>
      <c r="AK112" t="str">
        <f>""</f>
        <v/>
      </c>
      <c r="AL112" t="str">
        <f>""</f>
        <v/>
      </c>
      <c r="AM112" t="str">
        <f>""</f>
        <v/>
      </c>
      <c r="AN112" t="str">
        <f>""</f>
        <v/>
      </c>
      <c r="AO112" t="str">
        <f>""</f>
        <v/>
      </c>
      <c r="AP112" t="str">
        <f>""</f>
        <v/>
      </c>
      <c r="AQ112" t="str">
        <f>""</f>
        <v/>
      </c>
      <c r="AR112" t="str">
        <f>""</f>
        <v/>
      </c>
      <c r="AS112" t="str">
        <f>""</f>
        <v/>
      </c>
      <c r="AT112" t="str">
        <f>""</f>
        <v/>
      </c>
      <c r="AU112" t="str">
        <f>""</f>
        <v/>
      </c>
      <c r="AV112" t="str">
        <f>""</f>
        <v/>
      </c>
      <c r="AW112" t="str">
        <f>""</f>
        <v/>
      </c>
      <c r="AX112" t="str">
        <f>""</f>
        <v/>
      </c>
      <c r="AY112" t="str">
        <f>""</f>
        <v/>
      </c>
      <c r="AZ112" t="str">
        <f>""</f>
        <v/>
      </c>
      <c r="BA112" t="str">
        <f>""</f>
        <v/>
      </c>
      <c r="BB112" t="str">
        <f>""</f>
        <v/>
      </c>
      <c r="BC112" t="str">
        <f>""</f>
        <v/>
      </c>
      <c r="BD112" t="str">
        <f>""</f>
        <v/>
      </c>
      <c r="BE112" t="str">
        <f>""</f>
        <v/>
      </c>
      <c r="BF112" t="str">
        <f>""</f>
        <v/>
      </c>
      <c r="BG112" t="str">
        <f>""</f>
        <v/>
      </c>
      <c r="BH112" t="str">
        <f>""</f>
        <v/>
      </c>
      <c r="BI112" t="str">
        <f>""</f>
        <v/>
      </c>
    </row>
    <row r="113" spans="1:61" x14ac:dyDescent="0.25">
      <c r="A113" t="str">
        <f>"BDH snapshot header1"</f>
        <v>BDH snapshot header1</v>
      </c>
      <c r="B113">
        <f ca="1">IF(OR(ISERROR($C$113),ISBLANK($C$113),ISNUMBER(SEARCH("N/A",$C$113) ),ISERROR($C$114),ISBLANK($C$114)),0,1)</f>
        <v>0</v>
      </c>
      <c r="C113" t="e" cm="1">
        <f t="array" aca="1" ref="C113" ca="1">_xll.BDH($B$77,$C$77,$B$72,$B$109,"PER=CS","Dts=S","DtFmt=FI", "rows=2","Dir=H","Points=28","Sort=R","Days=A","Fill=B","FX=USD" )</f>
        <v>#NAME?</v>
      </c>
      <c r="AH113" t="str">
        <f>""</f>
        <v/>
      </c>
      <c r="AI113" t="str">
        <f>""</f>
        <v/>
      </c>
      <c r="AJ113" t="str">
        <f>""</f>
        <v/>
      </c>
      <c r="AK113" t="str">
        <f>""</f>
        <v/>
      </c>
      <c r="AL113" t="str">
        <f>""</f>
        <v/>
      </c>
      <c r="AM113" t="str">
        <f>""</f>
        <v/>
      </c>
      <c r="AN113" t="str">
        <f>""</f>
        <v/>
      </c>
      <c r="AO113" t="str">
        <f>""</f>
        <v/>
      </c>
      <c r="AP113" t="str">
        <f>""</f>
        <v/>
      </c>
      <c r="AQ113" t="str">
        <f>""</f>
        <v/>
      </c>
      <c r="AR113" t="str">
        <f>""</f>
        <v/>
      </c>
      <c r="AS113" t="str">
        <f>""</f>
        <v/>
      </c>
      <c r="AT113" t="str">
        <f>""</f>
        <v/>
      </c>
      <c r="AU113" t="str">
        <f>""</f>
        <v/>
      </c>
      <c r="AV113" t="str">
        <f>""</f>
        <v/>
      </c>
      <c r="AW113" t="str">
        <f>""</f>
        <v/>
      </c>
      <c r="AX113" t="str">
        <f>""</f>
        <v/>
      </c>
      <c r="AY113" t="str">
        <f>""</f>
        <v/>
      </c>
      <c r="AZ113" t="str">
        <f>""</f>
        <v/>
      </c>
      <c r="BA113" t="str">
        <f>""</f>
        <v/>
      </c>
      <c r="BB113" t="str">
        <f>""</f>
        <v/>
      </c>
      <c r="BC113" t="str">
        <f>""</f>
        <v/>
      </c>
      <c r="BD113" t="str">
        <f>""</f>
        <v/>
      </c>
      <c r="BE113" t="str">
        <f>""</f>
        <v/>
      </c>
      <c r="BF113" t="str">
        <f>""</f>
        <v/>
      </c>
      <c r="BG113" t="str">
        <f>""</f>
        <v/>
      </c>
      <c r="BH113" t="str">
        <f>""</f>
        <v/>
      </c>
      <c r="BI113" t="str">
        <f>""</f>
        <v/>
      </c>
    </row>
    <row r="114" spans="1:61" x14ac:dyDescent="0.25">
      <c r="A114" t="str">
        <f>"BDH snapshot result1"</f>
        <v>BDH snapshot result1</v>
      </c>
      <c r="AH114" t="str">
        <f>""</f>
        <v/>
      </c>
      <c r="AI114" t="str">
        <f>""</f>
        <v/>
      </c>
      <c r="AJ114" t="str">
        <f>""</f>
        <v/>
      </c>
      <c r="AK114" t="str">
        <f>""</f>
        <v/>
      </c>
      <c r="AL114" t="str">
        <f>""</f>
        <v/>
      </c>
      <c r="AM114" t="str">
        <f>""</f>
        <v/>
      </c>
      <c r="AN114" t="str">
        <f>""</f>
        <v/>
      </c>
      <c r="AO114" t="str">
        <f>""</f>
        <v/>
      </c>
      <c r="AP114" t="str">
        <f>""</f>
        <v/>
      </c>
      <c r="AQ114" t="str">
        <f>""</f>
        <v/>
      </c>
      <c r="AR114" t="str">
        <f>""</f>
        <v/>
      </c>
      <c r="AS114" t="str">
        <f>""</f>
        <v/>
      </c>
      <c r="AT114" t="str">
        <f>""</f>
        <v/>
      </c>
      <c r="AU114" t="str">
        <f>""</f>
        <v/>
      </c>
      <c r="AV114" t="str">
        <f>""</f>
        <v/>
      </c>
      <c r="AW114" t="str">
        <f>""</f>
        <v/>
      </c>
      <c r="AX114" t="str">
        <f>""</f>
        <v/>
      </c>
      <c r="AY114" t="str">
        <f>""</f>
        <v/>
      </c>
      <c r="AZ114" t="str">
        <f>""</f>
        <v/>
      </c>
      <c r="BA114" t="str">
        <f>""</f>
        <v/>
      </c>
      <c r="BB114" t="str">
        <f>""</f>
        <v/>
      </c>
      <c r="BC114" t="str">
        <f>""</f>
        <v/>
      </c>
      <c r="BD114" t="str">
        <f>""</f>
        <v/>
      </c>
      <c r="BE114" t="str">
        <f>""</f>
        <v/>
      </c>
      <c r="BF114" t="str">
        <f>""</f>
        <v/>
      </c>
      <c r="BG114" t="str">
        <f>""</f>
        <v/>
      </c>
      <c r="BH114" t="str">
        <f>""</f>
        <v/>
      </c>
      <c r="BI114" t="str">
        <f>""</f>
        <v/>
      </c>
    </row>
    <row r="115" spans="1:61" x14ac:dyDescent="0.25">
      <c r="A115" t="str">
        <f>"BDH snapshot header2"</f>
        <v>BDH snapshot header2</v>
      </c>
      <c r="B115">
        <f ca="1">IF(OR(ISERROR($C$115),ISBLANK($C$115),ISNUMBER(SEARCH("N/A",$C$115) ),ISERROR($C$116),ISBLANK($C$116)),0,1)</f>
        <v>0</v>
      </c>
      <c r="C115" t="e" cm="1">
        <f t="array" aca="1" ref="C115" ca="1">_xll.BDH($B$14,$C$14,$B$72,$B$109,"PER=CS","Dts=S","DtFmt=FI", "rows=2","Dir=H","Points=28","Sort=R","Days=A","Fill=B","FX=USD" )</f>
        <v>#NAME?</v>
      </c>
      <c r="AH115" t="str">
        <f>""</f>
        <v/>
      </c>
      <c r="AI115" t="str">
        <f>""</f>
        <v/>
      </c>
      <c r="AJ115" t="str">
        <f>""</f>
        <v/>
      </c>
      <c r="AK115" t="str">
        <f>""</f>
        <v/>
      </c>
      <c r="AL115" t="str">
        <f>""</f>
        <v/>
      </c>
      <c r="AM115" t="str">
        <f>""</f>
        <v/>
      </c>
      <c r="AN115" t="str">
        <f>""</f>
        <v/>
      </c>
      <c r="AO115" t="str">
        <f>""</f>
        <v/>
      </c>
      <c r="AP115" t="str">
        <f>""</f>
        <v/>
      </c>
      <c r="AQ115" t="str">
        <f>""</f>
        <v/>
      </c>
      <c r="AR115" t="str">
        <f>""</f>
        <v/>
      </c>
      <c r="AS115" t="str">
        <f>""</f>
        <v/>
      </c>
      <c r="AT115" t="str">
        <f>""</f>
        <v/>
      </c>
      <c r="AU115" t="str">
        <f>""</f>
        <v/>
      </c>
      <c r="AV115" t="str">
        <f>""</f>
        <v/>
      </c>
      <c r="AW115" t="str">
        <f>""</f>
        <v/>
      </c>
      <c r="AX115" t="str">
        <f>""</f>
        <v/>
      </c>
      <c r="AY115" t="str">
        <f>""</f>
        <v/>
      </c>
      <c r="AZ115" t="str">
        <f>""</f>
        <v/>
      </c>
      <c r="BA115" t="str">
        <f>""</f>
        <v/>
      </c>
      <c r="BB115" t="str">
        <f>""</f>
        <v/>
      </c>
      <c r="BC115" t="str">
        <f>""</f>
        <v/>
      </c>
      <c r="BD115" t="str">
        <f>""</f>
        <v/>
      </c>
      <c r="BE115" t="str">
        <f>""</f>
        <v/>
      </c>
      <c r="BF115" t="str">
        <f>""</f>
        <v/>
      </c>
      <c r="BG115" t="str">
        <f>""</f>
        <v/>
      </c>
      <c r="BH115" t="str">
        <f>""</f>
        <v/>
      </c>
      <c r="BI115" t="str">
        <f>""</f>
        <v/>
      </c>
    </row>
    <row r="116" spans="1:61" x14ac:dyDescent="0.25">
      <c r="A116" t="str">
        <f>"BDH snapshot result2"</f>
        <v>BDH snapshot result2</v>
      </c>
      <c r="AH116" t="str">
        <f>""</f>
        <v/>
      </c>
      <c r="AI116" t="str">
        <f>""</f>
        <v/>
      </c>
      <c r="AJ116" t="str">
        <f>""</f>
        <v/>
      </c>
      <c r="AK116" t="str">
        <f>""</f>
        <v/>
      </c>
      <c r="AL116" t="str">
        <f>""</f>
        <v/>
      </c>
      <c r="AM116" t="str">
        <f>""</f>
        <v/>
      </c>
      <c r="AN116" t="str">
        <f>""</f>
        <v/>
      </c>
      <c r="AO116" t="str">
        <f>""</f>
        <v/>
      </c>
      <c r="AP116" t="str">
        <f>""</f>
        <v/>
      </c>
      <c r="AQ116" t="str">
        <f>""</f>
        <v/>
      </c>
      <c r="AR116" t="str">
        <f>""</f>
        <v/>
      </c>
      <c r="AS116" t="str">
        <f>""</f>
        <v/>
      </c>
      <c r="AT116" t="str">
        <f>""</f>
        <v/>
      </c>
      <c r="AU116" t="str">
        <f>""</f>
        <v/>
      </c>
      <c r="AV116" t="str">
        <f>""</f>
        <v/>
      </c>
      <c r="AW116" t="str">
        <f>""</f>
        <v/>
      </c>
      <c r="AX116" t="str">
        <f>""</f>
        <v/>
      </c>
      <c r="AY116" t="str">
        <f>""</f>
        <v/>
      </c>
      <c r="AZ116" t="str">
        <f>""</f>
        <v/>
      </c>
      <c r="BA116" t="str">
        <f>""</f>
        <v/>
      </c>
      <c r="BB116" t="str">
        <f>""</f>
        <v/>
      </c>
      <c r="BC116" t="str">
        <f>""</f>
        <v/>
      </c>
      <c r="BD116" t="str">
        <f>""</f>
        <v/>
      </c>
      <c r="BE116" t="str">
        <f>""</f>
        <v/>
      </c>
      <c r="BF116" t="str">
        <f>""</f>
        <v/>
      </c>
      <c r="BG116" t="str">
        <f>""</f>
        <v/>
      </c>
      <c r="BH116" t="str">
        <f>""</f>
        <v/>
      </c>
      <c r="BI116" t="str">
        <f>""</f>
        <v/>
      </c>
    </row>
    <row r="117" spans="1:61" x14ac:dyDescent="0.25">
      <c r="A117" t="str">
        <f>"BDH snapshot"</f>
        <v>BDH snapshot</v>
      </c>
      <c r="B117">
        <f ca="1">IF($B$111&gt;=1,$B$111,IF($B$113&gt;=1,$B$113,IF($B$115&gt;=1,$B$115,$B$110)))</f>
        <v>2</v>
      </c>
      <c r="C117" t="str">
        <f ca="1">IF($B$111&gt;=1,$C$111,IF($B$113&gt;=1,$C$113,IF($B$115&gt;=1,$C$115,$C$110)))</f>
        <v>2025 S2</v>
      </c>
      <c r="D117" t="str">
        <f ca="1">IF($B$111&gt;=1,$D$111,IF($B$113&gt;=1,$D$113,IF($B$115&gt;=1,$D$115,$D$110)))</f>
        <v>2025 S1</v>
      </c>
      <c r="E117" t="str">
        <f ca="1">IF($B$111&gt;=1,$E$111,IF($B$113&gt;=1,$E$113,IF($B$115&gt;=1,$E$115,$E$110)))</f>
        <v>2024 S2</v>
      </c>
      <c r="F117" t="str">
        <f ca="1">IF($B$111&gt;=1,$F$111,IF($B$113&gt;=1,$F$113,IF($B$115&gt;=1,$F$115,$F$110)))</f>
        <v>2024 S1</v>
      </c>
      <c r="G117" t="str">
        <f ca="1">IF($B$111&gt;=1,$G$111,IF($B$113&gt;=1,$G$113,IF($B$115&gt;=1,$G$115,$G$110)))</f>
        <v>2023 S2</v>
      </c>
      <c r="H117" t="str">
        <f ca="1">IF($B$111&gt;=1,$H$111,IF($B$113&gt;=1,$H$113,IF($B$115&gt;=1,$H$115,$H$110)))</f>
        <v>2023 S1</v>
      </c>
      <c r="I117" t="str">
        <f ca="1">IF($B$111&gt;=1,$I$111,IF($B$113&gt;=1,$I$113,IF($B$115&gt;=1,$I$115,$I$110)))</f>
        <v>2022 S2</v>
      </c>
      <c r="J117" t="str">
        <f ca="1">IF($B$111&gt;=1,$J$111,IF($B$113&gt;=1,$J$113,IF($B$115&gt;=1,$J$115,$J$110)))</f>
        <v>2022 S1</v>
      </c>
      <c r="K117" t="str">
        <f ca="1">IF($B$111&gt;=1,$K$111,IF($B$113&gt;=1,$K$113,IF($B$115&gt;=1,$K$115,$K$110)))</f>
        <v>2021 S2</v>
      </c>
      <c r="L117" t="str">
        <f ca="1">IF($B$111&gt;=1,$L$111,IF($B$113&gt;=1,$L$113,IF($B$115&gt;=1,$L$115,$L$110)))</f>
        <v>2021 S1</v>
      </c>
      <c r="M117" t="str">
        <f ca="1">IF($B$111&gt;=1,$M$111,IF($B$113&gt;=1,$M$113,IF($B$115&gt;=1,$M$115,$M$110)))</f>
        <v>2020 S2</v>
      </c>
      <c r="N117" t="str">
        <f ca="1">IF($B$111&gt;=1,$N$111,IF($B$113&gt;=1,$N$113,IF($B$115&gt;=1,$N$115,$N$110)))</f>
        <v>2020 S1</v>
      </c>
      <c r="O117" t="str">
        <f ca="1">IF($B$111&gt;=1,$O$111,IF($B$113&gt;=1,$O$113,IF($B$115&gt;=1,$O$115,$O$110)))</f>
        <v>2019 S2</v>
      </c>
      <c r="P117" t="str">
        <f ca="1">IF($B$111&gt;=1,$P$111,IF($B$113&gt;=1,$P$113,IF($B$115&gt;=1,$P$115,$P$110)))</f>
        <v>2019 S1</v>
      </c>
      <c r="Q117" t="str">
        <f ca="1">IF($B$111&gt;=1,$Q$111,IF($B$113&gt;=1,$Q$113,IF($B$115&gt;=1,$Q$115,$Q$110)))</f>
        <v>2018 S2</v>
      </c>
      <c r="R117" t="str">
        <f ca="1">IF($B$111&gt;=1,$R$111,IF($B$113&gt;=1,$R$113,IF($B$115&gt;=1,$R$115,$R$110)))</f>
        <v>2018 S1</v>
      </c>
      <c r="S117" t="str">
        <f ca="1">IF($B$111&gt;=1,$S$111,IF($B$113&gt;=1,$S$113,IF($B$115&gt;=1,$S$115,$S$110)))</f>
        <v>2017 S2</v>
      </c>
      <c r="T117" t="str">
        <f ca="1">IF($B$111&gt;=1,$T$111,IF($B$113&gt;=1,$T$113,IF($B$115&gt;=1,$T$115,$T$110)))</f>
        <v>2017 S1</v>
      </c>
      <c r="U117" t="str">
        <f ca="1">IF($B$111&gt;=1,$U$111,IF($B$113&gt;=1,$U$113,IF($B$115&gt;=1,$U$115,$U$110)))</f>
        <v>2016 S2</v>
      </c>
      <c r="V117" t="str">
        <f ca="1">IF($B$111&gt;=1,$V$111,IF($B$113&gt;=1,$V$113,IF($B$115&gt;=1,$V$115,$V$110)))</f>
        <v>2016 S1</v>
      </c>
      <c r="W117" t="str">
        <f ca="1">IF($B$111&gt;=1,$W$111,IF($B$113&gt;=1,$W$113,IF($B$115&gt;=1,$W$115,$W$110)))</f>
        <v>2015 S2</v>
      </c>
      <c r="X117" t="str">
        <f ca="1">IF($B$111&gt;=1,$X$111,IF($B$113&gt;=1,$X$113,IF($B$115&gt;=1,$X$115,$X$110)))</f>
        <v>2015 S1</v>
      </c>
      <c r="Y117" t="str">
        <f ca="1">IF($B$111&gt;=1,$Y$111,IF($B$113&gt;=1,$Y$113,IF($B$115&gt;=1,$Y$115,$Y$110)))</f>
        <v>2014 S2</v>
      </c>
      <c r="Z117" t="str">
        <f ca="1">IF($B$111&gt;=1,$Z$111,IF($B$113&gt;=1,$Z$113,IF($B$115&gt;=1,$Z$115,$Z$110)))</f>
        <v>2014 S1</v>
      </c>
      <c r="AA117" t="str">
        <f ca="1">IF($B$111&gt;=1,$AA$111,IF($B$113&gt;=1,$AA$113,IF($B$115&gt;=1,$AA$115,$AA$110)))</f>
        <v>2013 S2</v>
      </c>
      <c r="AB117" t="str">
        <f ca="1">IF($B$111&gt;=1,$AB$111,IF($B$113&gt;=1,$AB$113,IF($B$115&gt;=1,$AB$115,$AB$110)))</f>
        <v>2013 S1</v>
      </c>
      <c r="AC117" t="str">
        <f ca="1">IF($B$111&gt;=1,$AC$111,IF($B$113&gt;=1,$AC$113,IF($B$115&gt;=1,$AC$115,$AC$110)))</f>
        <v>2012 S2</v>
      </c>
      <c r="AD117" t="str">
        <f ca="1">IF($B$111&gt;=1,$AD$111,IF($B$113&gt;=1,$AD$113,IF($B$115&gt;=1,$AD$115,$AD$110)))</f>
        <v>2012 S1</v>
      </c>
      <c r="AH117" t="str">
        <f>""</f>
        <v/>
      </c>
      <c r="AI117" t="str">
        <f>""</f>
        <v/>
      </c>
      <c r="AJ117" t="str">
        <f>""</f>
        <v/>
      </c>
      <c r="AK117" t="str">
        <f>""</f>
        <v/>
      </c>
      <c r="AL117" t="str">
        <f>""</f>
        <v/>
      </c>
      <c r="AM117" t="str">
        <f>""</f>
        <v/>
      </c>
      <c r="AN117" t="str">
        <f>""</f>
        <v/>
      </c>
      <c r="AO117" t="str">
        <f>""</f>
        <v/>
      </c>
      <c r="AP117" t="str">
        <f>""</f>
        <v/>
      </c>
      <c r="AQ117" t="str">
        <f>""</f>
        <v/>
      </c>
      <c r="AR117" t="str">
        <f>""</f>
        <v/>
      </c>
      <c r="AS117" t="str">
        <f>""</f>
        <v/>
      </c>
      <c r="AT117" t="str">
        <f>""</f>
        <v/>
      </c>
      <c r="AU117" t="str">
        <f>""</f>
        <v/>
      </c>
      <c r="AV117" t="str">
        <f>""</f>
        <v/>
      </c>
      <c r="AW117" t="str">
        <f>""</f>
        <v/>
      </c>
      <c r="AX117" t="str">
        <f>""</f>
        <v/>
      </c>
      <c r="AY117" t="str">
        <f>""</f>
        <v/>
      </c>
      <c r="AZ117" t="str">
        <f>""</f>
        <v/>
      </c>
      <c r="BA117" t="str">
        <f>""</f>
        <v/>
      </c>
      <c r="BB117" t="str">
        <f>""</f>
        <v/>
      </c>
      <c r="BC117" t="str">
        <f>""</f>
        <v/>
      </c>
      <c r="BD117" t="str">
        <f>""</f>
        <v/>
      </c>
      <c r="BE117" t="str">
        <f>""</f>
        <v/>
      </c>
      <c r="BF117" t="str">
        <f>""</f>
        <v/>
      </c>
      <c r="BG117" t="str">
        <f>""</f>
        <v/>
      </c>
      <c r="BH117" t="str">
        <f>""</f>
        <v/>
      </c>
      <c r="BI117" t="str">
        <f>""</f>
        <v/>
      </c>
    </row>
    <row r="118" spans="1:61" x14ac:dyDescent="0.25">
      <c r="A118" t="str">
        <f>"BDH snapshot title"</f>
        <v>BDH snapshot title</v>
      </c>
      <c r="B118">
        <f ca="1">$B$117</f>
        <v>2</v>
      </c>
      <c r="C118" t="str">
        <f ca="1">SUBSTITUTE($C$117,"FS","S")</f>
        <v>2025 S2</v>
      </c>
      <c r="D118" t="str">
        <f ca="1">SUBSTITUTE($D$117,"FS","S")</f>
        <v>2025 S1</v>
      </c>
      <c r="E118" t="str">
        <f ca="1">SUBSTITUTE($E$117,"FS","S")</f>
        <v>2024 S2</v>
      </c>
      <c r="F118" t="str">
        <f ca="1">SUBSTITUTE($F$117,"FS","S")</f>
        <v>2024 S1</v>
      </c>
      <c r="G118" t="str">
        <f ca="1">SUBSTITUTE($G$117,"FS","S")</f>
        <v>2023 S2</v>
      </c>
      <c r="H118" t="str">
        <f ca="1">SUBSTITUTE($H$117,"FS","S")</f>
        <v>2023 S1</v>
      </c>
      <c r="I118" t="str">
        <f ca="1">SUBSTITUTE($I$117,"FS","S")</f>
        <v>2022 S2</v>
      </c>
      <c r="J118" t="str">
        <f ca="1">SUBSTITUTE($J$117,"FS","S")</f>
        <v>2022 S1</v>
      </c>
      <c r="K118" t="str">
        <f ca="1">SUBSTITUTE($K$117,"FS","S")</f>
        <v>2021 S2</v>
      </c>
      <c r="L118" t="str">
        <f ca="1">SUBSTITUTE($L$117,"FS","S")</f>
        <v>2021 S1</v>
      </c>
      <c r="M118" t="str">
        <f ca="1">SUBSTITUTE($M$117,"FS","S")</f>
        <v>2020 S2</v>
      </c>
      <c r="N118" t="str">
        <f ca="1">SUBSTITUTE($N$117,"FS","S")</f>
        <v>2020 S1</v>
      </c>
      <c r="O118" t="str">
        <f ca="1">SUBSTITUTE($O$117,"FS","S")</f>
        <v>2019 S2</v>
      </c>
      <c r="P118" t="str">
        <f ca="1">SUBSTITUTE($P$117,"FS","S")</f>
        <v>2019 S1</v>
      </c>
      <c r="Q118" t="str">
        <f ca="1">SUBSTITUTE($Q$117,"FS","S")</f>
        <v>2018 S2</v>
      </c>
      <c r="R118" t="str">
        <f ca="1">SUBSTITUTE($R$117,"FS","S")</f>
        <v>2018 S1</v>
      </c>
      <c r="S118" t="str">
        <f ca="1">SUBSTITUTE($S$117,"FS","S")</f>
        <v>2017 S2</v>
      </c>
      <c r="T118" t="str">
        <f ca="1">SUBSTITUTE($T$117,"FS","S")</f>
        <v>2017 S1</v>
      </c>
      <c r="U118" t="str">
        <f ca="1">SUBSTITUTE($U$117,"FS","S")</f>
        <v>2016 S2</v>
      </c>
      <c r="V118" t="str">
        <f ca="1">SUBSTITUTE($V$117,"FS","S")</f>
        <v>2016 S1</v>
      </c>
      <c r="W118" t="str">
        <f ca="1">SUBSTITUTE($W$117,"FS","S")</f>
        <v>2015 S2</v>
      </c>
      <c r="X118" t="str">
        <f ca="1">SUBSTITUTE($X$117,"FS","S")</f>
        <v>2015 S1</v>
      </c>
      <c r="Y118" t="str">
        <f ca="1">SUBSTITUTE($Y$117,"FS","S")</f>
        <v>2014 S2</v>
      </c>
      <c r="Z118" t="str">
        <f ca="1">SUBSTITUTE($Z$117,"FS","S")</f>
        <v>2014 S1</v>
      </c>
      <c r="AA118" t="str">
        <f ca="1">SUBSTITUTE($AA$117,"FS","S")</f>
        <v>2013 S2</v>
      </c>
      <c r="AB118" t="str">
        <f ca="1">SUBSTITUTE($AB$117,"FS","S")</f>
        <v>2013 S1</v>
      </c>
      <c r="AC118" t="str">
        <f ca="1">SUBSTITUTE($AC$117,"FS","S")</f>
        <v>2012 S2</v>
      </c>
      <c r="AD118" t="str">
        <f ca="1">SUBSTITUTE($AD$117,"FS","S")</f>
        <v>2012 S1</v>
      </c>
      <c r="AH118" t="str">
        <f>""</f>
        <v/>
      </c>
      <c r="AI118" t="str">
        <f>""</f>
        <v/>
      </c>
      <c r="AJ118" t="str">
        <f>""</f>
        <v/>
      </c>
      <c r="AK118" t="str">
        <f>""</f>
        <v/>
      </c>
      <c r="AL118" t="str">
        <f>""</f>
        <v/>
      </c>
      <c r="AM118" t="str">
        <f>""</f>
        <v/>
      </c>
      <c r="AN118" t="str">
        <f>""</f>
        <v/>
      </c>
      <c r="AO118" t="str">
        <f>""</f>
        <v/>
      </c>
      <c r="AP118" t="str">
        <f>""</f>
        <v/>
      </c>
      <c r="AQ118" t="str">
        <f>""</f>
        <v/>
      </c>
      <c r="AR118" t="str">
        <f>""</f>
        <v/>
      </c>
      <c r="AS118" t="str">
        <f>""</f>
        <v/>
      </c>
      <c r="AT118" t="str">
        <f>""</f>
        <v/>
      </c>
      <c r="AU118" t="str">
        <f>""</f>
        <v/>
      </c>
      <c r="AV118" t="str">
        <f>""</f>
        <v/>
      </c>
      <c r="AW118" t="str">
        <f>""</f>
        <v/>
      </c>
      <c r="AX118" t="str">
        <f>""</f>
        <v/>
      </c>
      <c r="AY118" t="str">
        <f>""</f>
        <v/>
      </c>
      <c r="AZ118" t="str">
        <f>""</f>
        <v/>
      </c>
      <c r="BA118" t="str">
        <f>""</f>
        <v/>
      </c>
      <c r="BB118" t="str">
        <f>""</f>
        <v/>
      </c>
      <c r="BC118" t="str">
        <f>""</f>
        <v/>
      </c>
      <c r="BD118" t="str">
        <f>""</f>
        <v/>
      </c>
      <c r="BE118" t="str">
        <f>""</f>
        <v/>
      </c>
      <c r="BF118" t="str">
        <f>""</f>
        <v/>
      </c>
      <c r="BG118" t="str">
        <f>""</f>
        <v/>
      </c>
      <c r="BH118" t="str">
        <f>""</f>
        <v/>
      </c>
      <c r="BI118" t="str">
        <f>""</f>
        <v/>
      </c>
    </row>
    <row r="119" spans="1:61" x14ac:dyDescent="0.25">
      <c r="A119" t="str">
        <f>"BDH dynamic header0"</f>
        <v>BDH dynamic header0</v>
      </c>
      <c r="B119">
        <f ca="1">IF(OR(ISERROR($C$119),ISBLANK($C$119),ISNUMBER(SEARCH("N/A",$C$119) ),ISERROR($C$120),ISBLANK($C$120)),0,1)</f>
        <v>0</v>
      </c>
      <c r="C119" t="e" cm="1">
        <f t="array" aca="1" ref="C119" ca="1">_xll.BDH($B$76,$C$76,$B$72,$B$73,"PER=CS","Dts=S","DtFmt=FI", "rows=2","Dir=H","Points=28","Sort=R","Days=A","Fill=B","FX=USD" )</f>
        <v>#NAME?</v>
      </c>
      <c r="AH119" t="str">
        <f>""</f>
        <v/>
      </c>
      <c r="AI119" t="str">
        <f>""</f>
        <v/>
      </c>
      <c r="AJ119" t="str">
        <f>""</f>
        <v/>
      </c>
      <c r="AK119" t="str">
        <f>""</f>
        <v/>
      </c>
      <c r="AL119" t="str">
        <f>""</f>
        <v/>
      </c>
      <c r="AM119" t="str">
        <f>""</f>
        <v/>
      </c>
      <c r="AN119" t="str">
        <f>""</f>
        <v/>
      </c>
      <c r="AO119" t="str">
        <f>""</f>
        <v/>
      </c>
      <c r="AP119" t="str">
        <f>""</f>
        <v/>
      </c>
      <c r="AQ119" t="str">
        <f>""</f>
        <v/>
      </c>
      <c r="AR119" t="str">
        <f>""</f>
        <v/>
      </c>
      <c r="AS119" t="str">
        <f>""</f>
        <v/>
      </c>
      <c r="AT119" t="str">
        <f>""</f>
        <v/>
      </c>
      <c r="AU119" t="str">
        <f>""</f>
        <v/>
      </c>
      <c r="AV119" t="str">
        <f>""</f>
        <v/>
      </c>
      <c r="AW119" t="str">
        <f>""</f>
        <v/>
      </c>
      <c r="AX119" t="str">
        <f>""</f>
        <v/>
      </c>
      <c r="AY119" t="str">
        <f>""</f>
        <v/>
      </c>
      <c r="AZ119" t="str">
        <f>""</f>
        <v/>
      </c>
      <c r="BA119" t="str">
        <f>""</f>
        <v/>
      </c>
      <c r="BB119" t="str">
        <f>""</f>
        <v/>
      </c>
      <c r="BC119" t="str">
        <f>""</f>
        <v/>
      </c>
      <c r="BD119" t="str">
        <f>""</f>
        <v/>
      </c>
      <c r="BE119" t="str">
        <f>""</f>
        <v/>
      </c>
      <c r="BF119" t="str">
        <f>""</f>
        <v/>
      </c>
      <c r="BG119" t="str">
        <f>""</f>
        <v/>
      </c>
      <c r="BH119" t="str">
        <f>""</f>
        <v/>
      </c>
      <c r="BI119" t="str">
        <f>""</f>
        <v/>
      </c>
    </row>
    <row r="120" spans="1:61" x14ac:dyDescent="0.25">
      <c r="A120" t="str">
        <f>"BDH dynamic result0"</f>
        <v>BDH dynamic result0</v>
      </c>
      <c r="AH120" t="str">
        <f>""</f>
        <v/>
      </c>
      <c r="AI120" t="str">
        <f>""</f>
        <v/>
      </c>
      <c r="AJ120" t="str">
        <f>""</f>
        <v/>
      </c>
      <c r="AK120" t="str">
        <f>""</f>
        <v/>
      </c>
      <c r="AL120" t="str">
        <f>""</f>
        <v/>
      </c>
      <c r="AM120" t="str">
        <f>""</f>
        <v/>
      </c>
      <c r="AN120" t="str">
        <f>""</f>
        <v/>
      </c>
      <c r="AO120" t="str">
        <f>""</f>
        <v/>
      </c>
      <c r="AP120" t="str">
        <f>""</f>
        <v/>
      </c>
      <c r="AQ120" t="str">
        <f>""</f>
        <v/>
      </c>
      <c r="AR120" t="str">
        <f>""</f>
        <v/>
      </c>
      <c r="AS120" t="str">
        <f>""</f>
        <v/>
      </c>
      <c r="AT120" t="str">
        <f>""</f>
        <v/>
      </c>
      <c r="AU120" t="str">
        <f>""</f>
        <v/>
      </c>
      <c r="AV120" t="str">
        <f>""</f>
        <v/>
      </c>
      <c r="AW120" t="str">
        <f>""</f>
        <v/>
      </c>
      <c r="AX120" t="str">
        <f>""</f>
        <v/>
      </c>
      <c r="AY120" t="str">
        <f>""</f>
        <v/>
      </c>
      <c r="AZ120" t="str">
        <f>""</f>
        <v/>
      </c>
      <c r="BA120" t="str">
        <f>""</f>
        <v/>
      </c>
      <c r="BB120" t="str">
        <f>""</f>
        <v/>
      </c>
      <c r="BC120" t="str">
        <f>""</f>
        <v/>
      </c>
      <c r="BD120" t="str">
        <f>""</f>
        <v/>
      </c>
      <c r="BE120" t="str">
        <f>""</f>
        <v/>
      </c>
      <c r="BF120" t="str">
        <f>""</f>
        <v/>
      </c>
      <c r="BG120" t="str">
        <f>""</f>
        <v/>
      </c>
      <c r="BH120" t="str">
        <f>""</f>
        <v/>
      </c>
      <c r="BI120" t="str">
        <f>""</f>
        <v/>
      </c>
    </row>
    <row r="121" spans="1:61" x14ac:dyDescent="0.25">
      <c r="A121" t="str">
        <f>"BDH dynamic header1"</f>
        <v>BDH dynamic header1</v>
      </c>
      <c r="B121">
        <f ca="1">IF(OR(ISERROR($C$121),ISBLANK($C$121),ISNUMBER(SEARCH("N/A",$C$121) ),ISERROR($C$122),ISBLANK($C$122)),0,1)</f>
        <v>0</v>
      </c>
      <c r="C121" t="e" cm="1">
        <f t="array" aca="1" ref="C121" ca="1">_xll.BDH($B$77,$C$77,$B$72,$B$73,"PER=CS","Dts=S","DtFmt=FI", "rows=2","Dir=H","Points=28","Sort=R","Days=A","Fill=B","FX=USD" )</f>
        <v>#NAME?</v>
      </c>
      <c r="AH121" t="str">
        <f>""</f>
        <v/>
      </c>
      <c r="AI121" t="str">
        <f>""</f>
        <v/>
      </c>
      <c r="AJ121" t="str">
        <f>""</f>
        <v/>
      </c>
      <c r="AK121" t="str">
        <f>""</f>
        <v/>
      </c>
      <c r="AL121" t="str">
        <f>""</f>
        <v/>
      </c>
      <c r="AM121" t="str">
        <f>""</f>
        <v/>
      </c>
      <c r="AN121" t="str">
        <f>""</f>
        <v/>
      </c>
      <c r="AO121" t="str">
        <f>""</f>
        <v/>
      </c>
      <c r="AP121" t="str">
        <f>""</f>
        <v/>
      </c>
      <c r="AQ121" t="str">
        <f>""</f>
        <v/>
      </c>
      <c r="AR121" t="str">
        <f>""</f>
        <v/>
      </c>
      <c r="AS121" t="str">
        <f>""</f>
        <v/>
      </c>
      <c r="AT121" t="str">
        <f>""</f>
        <v/>
      </c>
      <c r="AU121" t="str">
        <f>""</f>
        <v/>
      </c>
      <c r="AV121" t="str">
        <f>""</f>
        <v/>
      </c>
      <c r="AW121" t="str">
        <f>""</f>
        <v/>
      </c>
      <c r="AX121" t="str">
        <f>""</f>
        <v/>
      </c>
      <c r="AY121" t="str">
        <f>""</f>
        <v/>
      </c>
      <c r="AZ121" t="str">
        <f>""</f>
        <v/>
      </c>
      <c r="BA121" t="str">
        <f>""</f>
        <v/>
      </c>
      <c r="BB121" t="str">
        <f>""</f>
        <v/>
      </c>
      <c r="BC121" t="str">
        <f>""</f>
        <v/>
      </c>
      <c r="BD121" t="str">
        <f>""</f>
        <v/>
      </c>
      <c r="BE121" t="str">
        <f>""</f>
        <v/>
      </c>
      <c r="BF121" t="str">
        <f>""</f>
        <v/>
      </c>
      <c r="BG121" t="str">
        <f>""</f>
        <v/>
      </c>
      <c r="BH121" t="str">
        <f>""</f>
        <v/>
      </c>
      <c r="BI121" t="str">
        <f>""</f>
        <v/>
      </c>
    </row>
    <row r="122" spans="1:61" x14ac:dyDescent="0.25">
      <c r="A122" t="str">
        <f>"BDH dynamic result1"</f>
        <v>BDH dynamic result1</v>
      </c>
      <c r="AH122" t="str">
        <f>""</f>
        <v/>
      </c>
      <c r="AI122" t="str">
        <f>""</f>
        <v/>
      </c>
      <c r="AJ122" t="str">
        <f>""</f>
        <v/>
      </c>
      <c r="AK122" t="str">
        <f>""</f>
        <v/>
      </c>
      <c r="AL122" t="str">
        <f>""</f>
        <v/>
      </c>
      <c r="AM122" t="str">
        <f>""</f>
        <v/>
      </c>
      <c r="AN122" t="str">
        <f>""</f>
        <v/>
      </c>
      <c r="AO122" t="str">
        <f>""</f>
        <v/>
      </c>
      <c r="AP122" t="str">
        <f>""</f>
        <v/>
      </c>
      <c r="AQ122" t="str">
        <f>""</f>
        <v/>
      </c>
      <c r="AR122" t="str">
        <f>""</f>
        <v/>
      </c>
      <c r="AS122" t="str">
        <f>""</f>
        <v/>
      </c>
      <c r="AT122" t="str">
        <f>""</f>
        <v/>
      </c>
      <c r="AU122" t="str">
        <f>""</f>
        <v/>
      </c>
      <c r="AV122" t="str">
        <f>""</f>
        <v/>
      </c>
      <c r="AW122" t="str">
        <f>""</f>
        <v/>
      </c>
      <c r="AX122" t="str">
        <f>""</f>
        <v/>
      </c>
      <c r="AY122" t="str">
        <f>""</f>
        <v/>
      </c>
      <c r="AZ122" t="str">
        <f>""</f>
        <v/>
      </c>
      <c r="BA122" t="str">
        <f>""</f>
        <v/>
      </c>
      <c r="BB122" t="str">
        <f>""</f>
        <v/>
      </c>
      <c r="BC122" t="str">
        <f>""</f>
        <v/>
      </c>
      <c r="BD122" t="str">
        <f>""</f>
        <v/>
      </c>
      <c r="BE122" t="str">
        <f>""</f>
        <v/>
      </c>
      <c r="BF122" t="str">
        <f>""</f>
        <v/>
      </c>
      <c r="BG122" t="str">
        <f>""</f>
        <v/>
      </c>
      <c r="BH122" t="str">
        <f>""</f>
        <v/>
      </c>
      <c r="BI122" t="str">
        <f>""</f>
        <v/>
      </c>
    </row>
    <row r="123" spans="1:61" x14ac:dyDescent="0.25">
      <c r="A123" t="str">
        <f>"BDH dynamic header2"</f>
        <v>BDH dynamic header2</v>
      </c>
      <c r="B123">
        <f ca="1">IF(OR(ISERROR($C$123),ISBLANK($C$123),ISNUMBER(SEARCH("N/A",$C$123) ),ISERROR($C$124),ISBLANK($C$124)),0,1)</f>
        <v>0</v>
      </c>
      <c r="C123" t="e" cm="1">
        <f t="array" aca="1" ref="C123" ca="1">_xll.BDH($B$14,$C$14,$B$72,$B$73,"PER=CS","Dts=S","DtFmt=FI", "rows=2","Dir=H","Points=28","Sort=R","Days=A","Fill=B","FX=USD" )</f>
        <v>#NAME?</v>
      </c>
      <c r="AH123" t="str">
        <f>""</f>
        <v/>
      </c>
      <c r="AI123" t="str">
        <f>""</f>
        <v/>
      </c>
      <c r="AJ123" t="str">
        <f>""</f>
        <v/>
      </c>
      <c r="AK123" t="str">
        <f>""</f>
        <v/>
      </c>
      <c r="AL123" t="str">
        <f>""</f>
        <v/>
      </c>
      <c r="AM123" t="str">
        <f>""</f>
        <v/>
      </c>
      <c r="AN123" t="str">
        <f>""</f>
        <v/>
      </c>
      <c r="AO123" t="str">
        <f>""</f>
        <v/>
      </c>
      <c r="AP123" t="str">
        <f>""</f>
        <v/>
      </c>
      <c r="AQ123" t="str">
        <f>""</f>
        <v/>
      </c>
      <c r="AR123" t="str">
        <f>""</f>
        <v/>
      </c>
      <c r="AS123" t="str">
        <f>""</f>
        <v/>
      </c>
      <c r="AT123" t="str">
        <f>""</f>
        <v/>
      </c>
      <c r="AU123" t="str">
        <f>""</f>
        <v/>
      </c>
      <c r="AV123" t="str">
        <f>""</f>
        <v/>
      </c>
      <c r="AW123" t="str">
        <f>""</f>
        <v/>
      </c>
      <c r="AX123" t="str">
        <f>""</f>
        <v/>
      </c>
      <c r="AY123" t="str">
        <f>""</f>
        <v/>
      </c>
      <c r="AZ123" t="str">
        <f>""</f>
        <v/>
      </c>
      <c r="BA123" t="str">
        <f>""</f>
        <v/>
      </c>
      <c r="BB123" t="str">
        <f>""</f>
        <v/>
      </c>
      <c r="BC123" t="str">
        <f>""</f>
        <v/>
      </c>
      <c r="BD123" t="str">
        <f>""</f>
        <v/>
      </c>
      <c r="BE123" t="str">
        <f>""</f>
        <v/>
      </c>
      <c r="BF123" t="str">
        <f>""</f>
        <v/>
      </c>
      <c r="BG123" t="str">
        <f>""</f>
        <v/>
      </c>
      <c r="BH123" t="str">
        <f>""</f>
        <v/>
      </c>
      <c r="BI123" t="str">
        <f>""</f>
        <v/>
      </c>
    </row>
    <row r="124" spans="1:61" x14ac:dyDescent="0.25">
      <c r="A124" t="str">
        <f>"BDH dynamic result2"</f>
        <v>BDH dynamic result2</v>
      </c>
      <c r="AH124" t="str">
        <f>""</f>
        <v/>
      </c>
      <c r="AI124" t="str">
        <f>""</f>
        <v/>
      </c>
      <c r="AJ124" t="str">
        <f>""</f>
        <v/>
      </c>
      <c r="AK124" t="str">
        <f>""</f>
        <v/>
      </c>
      <c r="AL124" t="str">
        <f>""</f>
        <v/>
      </c>
      <c r="AM124" t="str">
        <f>""</f>
        <v/>
      </c>
      <c r="AN124" t="str">
        <f>""</f>
        <v/>
      </c>
      <c r="AO124" t="str">
        <f>""</f>
        <v/>
      </c>
      <c r="AP124" t="str">
        <f>""</f>
        <v/>
      </c>
      <c r="AQ124" t="str">
        <f>""</f>
        <v/>
      </c>
      <c r="AR124" t="str">
        <f>""</f>
        <v/>
      </c>
      <c r="AS124" t="str">
        <f>""</f>
        <v/>
      </c>
      <c r="AT124" t="str">
        <f>""</f>
        <v/>
      </c>
      <c r="AU124" t="str">
        <f>""</f>
        <v/>
      </c>
      <c r="AV124" t="str">
        <f>""</f>
        <v/>
      </c>
      <c r="AW124" t="str">
        <f>""</f>
        <v/>
      </c>
      <c r="AX124" t="str">
        <f>""</f>
        <v/>
      </c>
      <c r="AY124" t="str">
        <f>""</f>
        <v/>
      </c>
      <c r="AZ124" t="str">
        <f>""</f>
        <v/>
      </c>
      <c r="BA124" t="str">
        <f>""</f>
        <v/>
      </c>
      <c r="BB124" t="str">
        <f>""</f>
        <v/>
      </c>
      <c r="BC124" t="str">
        <f>""</f>
        <v/>
      </c>
      <c r="BD124" t="str">
        <f>""</f>
        <v/>
      </c>
      <c r="BE124" t="str">
        <f>""</f>
        <v/>
      </c>
      <c r="BF124" t="str">
        <f>""</f>
        <v/>
      </c>
      <c r="BG124" t="str">
        <f>""</f>
        <v/>
      </c>
      <c r="BH124" t="str">
        <f>""</f>
        <v/>
      </c>
      <c r="BI124" t="str">
        <f>""</f>
        <v/>
      </c>
    </row>
    <row r="125" spans="1:61" x14ac:dyDescent="0.25">
      <c r="A125" t="str">
        <f>"BDH dynamic"</f>
        <v>BDH dynamic</v>
      </c>
      <c r="B125">
        <f ca="1">IF($B$119&gt;=1,$B$119,IF($B$121&gt;=1,$B$121,IF($B$123&gt;=1,$B$123,$B$110)))</f>
        <v>2</v>
      </c>
      <c r="C125" t="str">
        <f ca="1">IF($B$119&gt;=1,$C$119,IF($B$121&gt;=1,$C$121,IF($B$123&gt;=1,$C$123,$C$110)))</f>
        <v>2025 S2</v>
      </c>
      <c r="D125" t="str">
        <f ca="1">IF($B$119&gt;=1,$D$119,IF($B$121&gt;=1,$D$121,IF($B$123&gt;=1,$D$123,$D$110)))</f>
        <v>2025 S1</v>
      </c>
      <c r="E125" t="str">
        <f ca="1">IF($B$119&gt;=1,$E$119,IF($B$121&gt;=1,$E$121,IF($B$123&gt;=1,$E$123,$E$110)))</f>
        <v>2024 S2</v>
      </c>
      <c r="F125" t="str">
        <f ca="1">IF($B$119&gt;=1,$F$119,IF($B$121&gt;=1,$F$121,IF($B$123&gt;=1,$F$123,$F$110)))</f>
        <v>2024 S1</v>
      </c>
      <c r="G125" t="str">
        <f ca="1">IF($B$119&gt;=1,$G$119,IF($B$121&gt;=1,$G$121,IF($B$123&gt;=1,$G$123,$G$110)))</f>
        <v>2023 S2</v>
      </c>
      <c r="H125" t="str">
        <f ca="1">IF($B$119&gt;=1,$H$119,IF($B$121&gt;=1,$H$121,IF($B$123&gt;=1,$H$123,$H$110)))</f>
        <v>2023 S1</v>
      </c>
      <c r="I125" t="str">
        <f ca="1">IF($B$119&gt;=1,$I$119,IF($B$121&gt;=1,$I$121,IF($B$123&gt;=1,$I$123,$I$110)))</f>
        <v>2022 S2</v>
      </c>
      <c r="J125" t="str">
        <f ca="1">IF($B$119&gt;=1,$J$119,IF($B$121&gt;=1,$J$121,IF($B$123&gt;=1,$J$123,$J$110)))</f>
        <v>2022 S1</v>
      </c>
      <c r="K125" t="str">
        <f ca="1">IF($B$119&gt;=1,$K$119,IF($B$121&gt;=1,$K$121,IF($B$123&gt;=1,$K$123,$K$110)))</f>
        <v>2021 S2</v>
      </c>
      <c r="L125" t="str">
        <f ca="1">IF($B$119&gt;=1,$L$119,IF($B$121&gt;=1,$L$121,IF($B$123&gt;=1,$L$123,$L$110)))</f>
        <v>2021 S1</v>
      </c>
      <c r="M125" t="str">
        <f ca="1">IF($B$119&gt;=1,$M$119,IF($B$121&gt;=1,$M$121,IF($B$123&gt;=1,$M$123,$M$110)))</f>
        <v>2020 S2</v>
      </c>
      <c r="N125" t="str">
        <f ca="1">IF($B$119&gt;=1,$N$119,IF($B$121&gt;=1,$N$121,IF($B$123&gt;=1,$N$123,$N$110)))</f>
        <v>2020 S1</v>
      </c>
      <c r="O125" t="str">
        <f ca="1">IF($B$119&gt;=1,$O$119,IF($B$121&gt;=1,$O$121,IF($B$123&gt;=1,$O$123,$O$110)))</f>
        <v>2019 S2</v>
      </c>
      <c r="P125" t="str">
        <f ca="1">IF($B$119&gt;=1,$P$119,IF($B$121&gt;=1,$P$121,IF($B$123&gt;=1,$P$123,$P$110)))</f>
        <v>2019 S1</v>
      </c>
      <c r="Q125" t="str">
        <f ca="1">IF($B$119&gt;=1,$Q$119,IF($B$121&gt;=1,$Q$121,IF($B$123&gt;=1,$Q$123,$Q$110)))</f>
        <v>2018 S2</v>
      </c>
      <c r="R125" t="str">
        <f ca="1">IF($B$119&gt;=1,$R$119,IF($B$121&gt;=1,$R$121,IF($B$123&gt;=1,$R$123,$R$110)))</f>
        <v>2018 S1</v>
      </c>
      <c r="S125" t="str">
        <f ca="1">IF($B$119&gt;=1,$S$119,IF($B$121&gt;=1,$S$121,IF($B$123&gt;=1,$S$123,$S$110)))</f>
        <v>2017 S2</v>
      </c>
      <c r="T125" t="str">
        <f ca="1">IF($B$119&gt;=1,$T$119,IF($B$121&gt;=1,$T$121,IF($B$123&gt;=1,$T$123,$T$110)))</f>
        <v>2017 S1</v>
      </c>
      <c r="U125" t="str">
        <f ca="1">IF($B$119&gt;=1,$U$119,IF($B$121&gt;=1,$U$121,IF($B$123&gt;=1,$U$123,$U$110)))</f>
        <v>2016 S2</v>
      </c>
      <c r="V125" t="str">
        <f ca="1">IF($B$119&gt;=1,$V$119,IF($B$121&gt;=1,$V$121,IF($B$123&gt;=1,$V$123,$V$110)))</f>
        <v>2016 S1</v>
      </c>
      <c r="W125" t="str">
        <f ca="1">IF($B$119&gt;=1,$W$119,IF($B$121&gt;=1,$W$121,IF($B$123&gt;=1,$W$123,$W$110)))</f>
        <v>2015 S2</v>
      </c>
      <c r="X125" t="str">
        <f ca="1">IF($B$119&gt;=1,$X$119,IF($B$121&gt;=1,$X$121,IF($B$123&gt;=1,$X$123,$X$110)))</f>
        <v>2015 S1</v>
      </c>
      <c r="Y125" t="str">
        <f ca="1">IF($B$119&gt;=1,$Y$119,IF($B$121&gt;=1,$Y$121,IF($B$123&gt;=1,$Y$123,$Y$110)))</f>
        <v>2014 S2</v>
      </c>
      <c r="Z125" t="str">
        <f ca="1">IF($B$119&gt;=1,$Z$119,IF($B$121&gt;=1,$Z$121,IF($B$123&gt;=1,$Z$123,$Z$110)))</f>
        <v>2014 S1</v>
      </c>
      <c r="AA125" t="str">
        <f ca="1">IF($B$119&gt;=1,$AA$119,IF($B$121&gt;=1,$AA$121,IF($B$123&gt;=1,$AA$123,$AA$110)))</f>
        <v>2013 S2</v>
      </c>
      <c r="AB125" t="str">
        <f ca="1">IF($B$119&gt;=1,$AB$119,IF($B$121&gt;=1,$AB$121,IF($B$123&gt;=1,$AB$123,$AB$110)))</f>
        <v>2013 S1</v>
      </c>
      <c r="AC125" t="str">
        <f ca="1">IF($B$119&gt;=1,$AC$119,IF($B$121&gt;=1,$AC$121,IF($B$123&gt;=1,$AC$123,$AC$110)))</f>
        <v>2012 S2</v>
      </c>
      <c r="AD125" t="str">
        <f ca="1">IF($B$119&gt;=1,$AD$119,IF($B$121&gt;=1,$AD$121,IF($B$123&gt;=1,$AD$123,$AD$110)))</f>
        <v>2012 S1</v>
      </c>
      <c r="AH125" t="str">
        <f>""</f>
        <v/>
      </c>
      <c r="AI125" t="str">
        <f>""</f>
        <v/>
      </c>
      <c r="AJ125" t="str">
        <f>""</f>
        <v/>
      </c>
      <c r="AK125" t="str">
        <f>""</f>
        <v/>
      </c>
      <c r="AL125" t="str">
        <f>""</f>
        <v/>
      </c>
      <c r="AM125" t="str">
        <f>""</f>
        <v/>
      </c>
      <c r="AN125" t="str">
        <f>""</f>
        <v/>
      </c>
      <c r="AO125" t="str">
        <f>""</f>
        <v/>
      </c>
      <c r="AP125" t="str">
        <f>""</f>
        <v/>
      </c>
      <c r="AQ125" t="str">
        <f>""</f>
        <v/>
      </c>
      <c r="AR125" t="str">
        <f>""</f>
        <v/>
      </c>
      <c r="AS125" t="str">
        <f>""</f>
        <v/>
      </c>
      <c r="AT125" t="str">
        <f>""</f>
        <v/>
      </c>
      <c r="AU125" t="str">
        <f>""</f>
        <v/>
      </c>
      <c r="AV125" t="str">
        <f>""</f>
        <v/>
      </c>
      <c r="AW125" t="str">
        <f>""</f>
        <v/>
      </c>
      <c r="AX125" t="str">
        <f>""</f>
        <v/>
      </c>
      <c r="AY125" t="str">
        <f>""</f>
        <v/>
      </c>
      <c r="AZ125" t="str">
        <f>""</f>
        <v/>
      </c>
      <c r="BA125" t="str">
        <f>""</f>
        <v/>
      </c>
      <c r="BB125" t="str">
        <f>""</f>
        <v/>
      </c>
      <c r="BC125" t="str">
        <f>""</f>
        <v/>
      </c>
      <c r="BD125" t="str">
        <f>""</f>
        <v/>
      </c>
      <c r="BE125" t="str">
        <f>""</f>
        <v/>
      </c>
      <c r="BF125" t="str">
        <f>""</f>
        <v/>
      </c>
      <c r="BG125" t="str">
        <f>""</f>
        <v/>
      </c>
      <c r="BH125" t="str">
        <f>""</f>
        <v/>
      </c>
      <c r="BI125" t="str">
        <f>""</f>
        <v/>
      </c>
    </row>
    <row r="126" spans="1:61" x14ac:dyDescent="0.25">
      <c r="A126" t="str">
        <f>"BDH dynamic title"</f>
        <v>BDH dynamic title</v>
      </c>
      <c r="B126">
        <f ca="1">$B$125</f>
        <v>2</v>
      </c>
      <c r="C126" t="str">
        <f ca="1">SUBSTITUTE($C$125,"FS","S")</f>
        <v>2025 S2</v>
      </c>
      <c r="D126" t="str">
        <f ca="1">SUBSTITUTE($D$125,"FS","S")</f>
        <v>2025 S1</v>
      </c>
      <c r="E126" t="str">
        <f ca="1">SUBSTITUTE($E$125,"FS","S")</f>
        <v>2024 S2</v>
      </c>
      <c r="F126" t="str">
        <f ca="1">SUBSTITUTE($F$125,"FS","S")</f>
        <v>2024 S1</v>
      </c>
      <c r="G126" t="str">
        <f ca="1">SUBSTITUTE($G$125,"FS","S")</f>
        <v>2023 S2</v>
      </c>
      <c r="H126" t="str">
        <f ca="1">SUBSTITUTE($H$125,"FS","S")</f>
        <v>2023 S1</v>
      </c>
      <c r="I126" t="str">
        <f ca="1">SUBSTITUTE($I$125,"FS","S")</f>
        <v>2022 S2</v>
      </c>
      <c r="J126" t="str">
        <f ca="1">SUBSTITUTE($J$125,"FS","S")</f>
        <v>2022 S1</v>
      </c>
      <c r="K126" t="str">
        <f ca="1">SUBSTITUTE($K$125,"FS","S")</f>
        <v>2021 S2</v>
      </c>
      <c r="L126" t="str">
        <f ca="1">SUBSTITUTE($L$125,"FS","S")</f>
        <v>2021 S1</v>
      </c>
      <c r="M126" t="str">
        <f ca="1">SUBSTITUTE($M$125,"FS","S")</f>
        <v>2020 S2</v>
      </c>
      <c r="N126" t="str">
        <f ca="1">SUBSTITUTE($N$125,"FS","S")</f>
        <v>2020 S1</v>
      </c>
      <c r="O126" t="str">
        <f ca="1">SUBSTITUTE($O$125,"FS","S")</f>
        <v>2019 S2</v>
      </c>
      <c r="P126" t="str">
        <f ca="1">SUBSTITUTE($P$125,"FS","S")</f>
        <v>2019 S1</v>
      </c>
      <c r="Q126" t="str">
        <f ca="1">SUBSTITUTE($Q$125,"FS","S")</f>
        <v>2018 S2</v>
      </c>
      <c r="R126" t="str">
        <f ca="1">SUBSTITUTE($R$125,"FS","S")</f>
        <v>2018 S1</v>
      </c>
      <c r="S126" t="str">
        <f ca="1">SUBSTITUTE($S$125,"FS","S")</f>
        <v>2017 S2</v>
      </c>
      <c r="T126" t="str">
        <f ca="1">SUBSTITUTE($T$125,"FS","S")</f>
        <v>2017 S1</v>
      </c>
      <c r="U126" t="str">
        <f ca="1">SUBSTITUTE($U$125,"FS","S")</f>
        <v>2016 S2</v>
      </c>
      <c r="V126" t="str">
        <f ca="1">SUBSTITUTE($V$125,"FS","S")</f>
        <v>2016 S1</v>
      </c>
      <c r="W126" t="str">
        <f ca="1">SUBSTITUTE($W$125,"FS","S")</f>
        <v>2015 S2</v>
      </c>
      <c r="X126" t="str">
        <f ca="1">SUBSTITUTE($X$125,"FS","S")</f>
        <v>2015 S1</v>
      </c>
      <c r="Y126" t="str">
        <f ca="1">SUBSTITUTE($Y$125,"FS","S")</f>
        <v>2014 S2</v>
      </c>
      <c r="Z126" t="str">
        <f ca="1">SUBSTITUTE($Z$125,"FS","S")</f>
        <v>2014 S1</v>
      </c>
      <c r="AA126" t="str">
        <f ca="1">SUBSTITUTE($AA$125,"FS","S")</f>
        <v>2013 S2</v>
      </c>
      <c r="AB126" t="str">
        <f ca="1">SUBSTITUTE($AB$125,"FS","S")</f>
        <v>2013 S1</v>
      </c>
      <c r="AC126" t="str">
        <f ca="1">SUBSTITUTE($AC$125,"FS","S")</f>
        <v>2012 S2</v>
      </c>
      <c r="AD126" t="str">
        <f ca="1">SUBSTITUTE($AD$125,"FS","S")</f>
        <v>2012 S1</v>
      </c>
      <c r="AH126" t="str">
        <f>""</f>
        <v/>
      </c>
      <c r="AI126" t="str">
        <f>""</f>
        <v/>
      </c>
      <c r="AJ126" t="str">
        <f>""</f>
        <v/>
      </c>
      <c r="AK126" t="str">
        <f>""</f>
        <v/>
      </c>
      <c r="AL126" t="str">
        <f>""</f>
        <v/>
      </c>
      <c r="AM126" t="str">
        <f>""</f>
        <v/>
      </c>
      <c r="AN126" t="str">
        <f>""</f>
        <v/>
      </c>
      <c r="AO126" t="str">
        <f>""</f>
        <v/>
      </c>
      <c r="AP126" t="str">
        <f>""</f>
        <v/>
      </c>
      <c r="AQ126" t="str">
        <f>""</f>
        <v/>
      </c>
      <c r="AR126" t="str">
        <f>""</f>
        <v/>
      </c>
      <c r="AS126" t="str">
        <f>""</f>
        <v/>
      </c>
      <c r="AT126" t="str">
        <f>""</f>
        <v/>
      </c>
      <c r="AU126" t="str">
        <f>""</f>
        <v/>
      </c>
      <c r="AV126" t="str">
        <f>""</f>
        <v/>
      </c>
      <c r="AW126" t="str">
        <f>""</f>
        <v/>
      </c>
      <c r="AX126" t="str">
        <f>""</f>
        <v/>
      </c>
      <c r="AY126" t="str">
        <f>""</f>
        <v/>
      </c>
      <c r="AZ126" t="str">
        <f>""</f>
        <v/>
      </c>
      <c r="BA126" t="str">
        <f>""</f>
        <v/>
      </c>
      <c r="BB126" t="str">
        <f>""</f>
        <v/>
      </c>
      <c r="BC126" t="str">
        <f>""</f>
        <v/>
      </c>
      <c r="BD126" t="str">
        <f>""</f>
        <v/>
      </c>
      <c r="BE126" t="str">
        <f>""</f>
        <v/>
      </c>
      <c r="BF126" t="str">
        <f>""</f>
        <v/>
      </c>
      <c r="BG126" t="str">
        <f>""</f>
        <v/>
      </c>
      <c r="BH126" t="str">
        <f>""</f>
        <v/>
      </c>
      <c r="BI126" t="str">
        <f>""</f>
        <v/>
      </c>
    </row>
    <row r="127" spans="1:61" x14ac:dyDescent="0.25">
      <c r="A127" t="str">
        <f>"No error found"</f>
        <v>No error found</v>
      </c>
      <c r="B127" t="str">
        <f>""</f>
        <v/>
      </c>
      <c r="C127" t="str">
        <f>""</f>
        <v/>
      </c>
      <c r="D127" t="str">
        <f>""</f>
        <v/>
      </c>
      <c r="E127" t="str">
        <f>""</f>
        <v/>
      </c>
      <c r="AH127" t="str">
        <f>""</f>
        <v/>
      </c>
      <c r="AI127" t="str">
        <f>""</f>
        <v/>
      </c>
      <c r="AJ127" t="str">
        <f>""</f>
        <v/>
      </c>
      <c r="AK127" t="str">
        <f>""</f>
        <v/>
      </c>
      <c r="AL127" t="str">
        <f>""</f>
        <v/>
      </c>
      <c r="AM127" t="str">
        <f>""</f>
        <v/>
      </c>
      <c r="AN127" t="str">
        <f>""</f>
        <v/>
      </c>
      <c r="AO127" t="str">
        <f>""</f>
        <v/>
      </c>
      <c r="AP127" t="str">
        <f>""</f>
        <v/>
      </c>
      <c r="AQ127" t="str">
        <f>""</f>
        <v/>
      </c>
      <c r="AR127" t="str">
        <f>""</f>
        <v/>
      </c>
      <c r="AS127" t="str">
        <f>""</f>
        <v/>
      </c>
      <c r="AT127" t="str">
        <f>""</f>
        <v/>
      </c>
      <c r="AU127" t="str">
        <f>""</f>
        <v/>
      </c>
      <c r="AV127" t="str">
        <f>""</f>
        <v/>
      </c>
      <c r="AW127" t="str">
        <f>""</f>
        <v/>
      </c>
      <c r="AX127" t="str">
        <f>""</f>
        <v/>
      </c>
      <c r="AY127" t="str">
        <f>""</f>
        <v/>
      </c>
      <c r="AZ127" t="str">
        <f>""</f>
        <v/>
      </c>
      <c r="BA127" t="str">
        <f>""</f>
        <v/>
      </c>
      <c r="BB127" t="str">
        <f>""</f>
        <v/>
      </c>
      <c r="BC127" t="str">
        <f>""</f>
        <v/>
      </c>
      <c r="BD127" t="str">
        <f>""</f>
        <v/>
      </c>
      <c r="BE127" t="str">
        <f>""</f>
        <v/>
      </c>
      <c r="BF127" t="str">
        <f>""</f>
        <v/>
      </c>
      <c r="BG127" t="str">
        <f>""</f>
        <v/>
      </c>
      <c r="BH127" t="str">
        <f>""</f>
        <v/>
      </c>
      <c r="BI127" t="str">
        <f>""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/>
  </sheetViews>
  <sheetFormatPr defaultRowHeight="15" x14ac:dyDescent="0.25"/>
  <cols>
    <col min="1" max="1" width="9.140625" bestFit="1" customWidth="1"/>
  </cols>
  <sheetData>
    <row r="1" spans="1:1" x14ac:dyDescent="0.25">
      <c r="A1" s="1"/>
    </row>
    <row r="2" spans="1:1" x14ac:dyDescent="0.25">
      <c r="A2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</v>
      </c>
    </row>
    <row r="32" spans="1:1" x14ac:dyDescent="0.25">
      <c r="A32" t="s">
        <v>26</v>
      </c>
    </row>
    <row r="33" spans="1:1" x14ac:dyDescent="0.25">
      <c r="A3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BIData</vt:lpstr>
      <vt:lpstr>ReferenceData</vt:lpstr>
      <vt:lpstr>Help-Reference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antonio de ipiña</cp:lastModifiedBy>
  <dcterms:created xsi:type="dcterms:W3CDTF">2013-04-03T15:49:21Z</dcterms:created>
  <dcterms:modified xsi:type="dcterms:W3CDTF">2026-02-13T14:47:40Z</dcterms:modified>
</cp:coreProperties>
</file>