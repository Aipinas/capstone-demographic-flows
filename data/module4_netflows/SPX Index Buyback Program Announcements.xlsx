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Bloomberg/"/>
    </mc:Choice>
  </mc:AlternateContent>
  <xr:revisionPtr revIDLastSave="0" documentId="8_{206CA914-55A8-43B5-A56D-0478E6D36A7F}" xr6:coauthVersionLast="47" xr6:coauthVersionMax="47" xr10:uidLastSave="{00000000-0000-0000-0000-000000000000}"/>
  <bookViews>
    <workbookView xWindow="1905" yWindow="1905" windowWidth="13305" windowHeight="12705" activeTab="1" xr2:uid="{00000000-000D-0000-FFFF-FFFF00000000}"/>
  </bookViews>
  <sheets>
    <sheet name="BIData" sheetId="2" r:id="rId1"/>
    <sheet name="ReferenceData" sheetId="3" r:id="rId2"/>
    <sheet name="Help-Referenc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E41" i="3"/>
  <c r="D41" i="3"/>
  <c r="C41" i="3"/>
  <c r="B41" i="3"/>
  <c r="A41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L40" i="3"/>
  <c r="AK40" i="3"/>
  <c r="BX2" i="3" s="1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BH2" i="3" s="1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AR2" i="3" s="1"/>
  <c r="D40" i="3"/>
  <c r="C40" i="3"/>
  <c r="B40" i="3"/>
  <c r="A40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B38" i="3"/>
  <c r="A38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B37" i="3"/>
  <c r="A37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36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B35" i="3"/>
  <c r="C36" i="3" s="1"/>
  <c r="A35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C34" i="3"/>
  <c r="B34" i="3"/>
  <c r="A34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B33" i="3"/>
  <c r="A33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32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31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E22" i="3"/>
  <c r="B22" i="3"/>
  <c r="A22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E21" i="3"/>
  <c r="B21" i="3"/>
  <c r="A21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E20" i="3"/>
  <c r="B20" i="3"/>
  <c r="A20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E19" i="3"/>
  <c r="B19" i="3"/>
  <c r="A19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E18" i="3"/>
  <c r="B18" i="3"/>
  <c r="A18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E17" i="3"/>
  <c r="B17" i="3"/>
  <c r="A17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E16" i="3"/>
  <c r="B16" i="3"/>
  <c r="A16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E15" i="3"/>
  <c r="B15" i="3"/>
  <c r="A15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E14" i="3"/>
  <c r="E14" i="2" s="1"/>
  <c r="B14" i="3"/>
  <c r="A14" i="3"/>
  <c r="A14" i="2" s="1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E13" i="3"/>
  <c r="B13" i="3"/>
  <c r="A13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E12" i="3"/>
  <c r="B12" i="3"/>
  <c r="A12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E11" i="3"/>
  <c r="B11" i="3"/>
  <c r="B11" i="2" s="1"/>
  <c r="A11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E10" i="3"/>
  <c r="B10" i="3"/>
  <c r="A10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E9" i="3"/>
  <c r="B9" i="3"/>
  <c r="A9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E8" i="3"/>
  <c r="E8" i="2" s="1"/>
  <c r="B8" i="3"/>
  <c r="A8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E7" i="3"/>
  <c r="E7" i="2" s="1"/>
  <c r="B7" i="3"/>
  <c r="B7" i="2" s="1"/>
  <c r="A7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E6" i="3"/>
  <c r="B6" i="3"/>
  <c r="A6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E5" i="3"/>
  <c r="B5" i="3"/>
  <c r="A5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E4" i="3"/>
  <c r="B4" i="3"/>
  <c r="A4" i="3"/>
  <c r="A4" i="2" s="1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E3" i="3"/>
  <c r="B3" i="3"/>
  <c r="BY2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Q2" i="3"/>
  <c r="AP2" i="3"/>
  <c r="AO2" i="3"/>
  <c r="AM2" i="3"/>
  <c r="H2" i="2" s="1"/>
  <c r="AL2" i="3"/>
  <c r="AK2" i="3"/>
  <c r="AJ2" i="3"/>
  <c r="AI2" i="3"/>
  <c r="AH2" i="3"/>
  <c r="AG2" i="3"/>
  <c r="AF2" i="3"/>
  <c r="AE2" i="3"/>
  <c r="P2" i="2" s="1"/>
  <c r="AD2" i="3"/>
  <c r="Q2" i="2" s="1"/>
  <c r="AC2" i="3"/>
  <c r="R2" i="2" s="1"/>
  <c r="AB2" i="3"/>
  <c r="S2" i="2" s="1"/>
  <c r="AA2" i="3"/>
  <c r="Z2" i="3"/>
  <c r="Y2" i="3"/>
  <c r="W2" i="3"/>
  <c r="X2" i="2" s="1"/>
  <c r="V2" i="3"/>
  <c r="U2" i="3"/>
  <c r="T2" i="3"/>
  <c r="S2" i="3"/>
  <c r="R2" i="3"/>
  <c r="Q2" i="3"/>
  <c r="P2" i="3"/>
  <c r="O2" i="3"/>
  <c r="AF2" i="2" s="1"/>
  <c r="N2" i="3"/>
  <c r="AG2" i="2" s="1"/>
  <c r="M2" i="3"/>
  <c r="AH2" i="2" s="1"/>
  <c r="L2" i="3"/>
  <c r="AI2" i="2" s="1"/>
  <c r="K2" i="3"/>
  <c r="J2" i="3"/>
  <c r="I2" i="3"/>
  <c r="G2" i="3"/>
  <c r="AN2" i="2" s="1"/>
  <c r="F2" i="3"/>
  <c r="E2" i="3"/>
  <c r="D2" i="3"/>
  <c r="C2" i="3"/>
  <c r="B2" i="3"/>
  <c r="A2" i="3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D14" i="2"/>
  <c r="C14" i="2"/>
  <c r="B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A11" i="2"/>
  <c r="E10" i="2"/>
  <c r="D10" i="2"/>
  <c r="C10" i="2"/>
  <c r="B10" i="2"/>
  <c r="A10" i="2"/>
  <c r="E9" i="2"/>
  <c r="D9" i="2"/>
  <c r="C9" i="2"/>
  <c r="B9" i="2"/>
  <c r="A9" i="2"/>
  <c r="D8" i="2"/>
  <c r="C8" i="2"/>
  <c r="B8" i="2"/>
  <c r="A8" i="2"/>
  <c r="D7" i="2"/>
  <c r="C7" i="2"/>
  <c r="A7" i="2"/>
  <c r="E6" i="2"/>
  <c r="D6" i="2"/>
  <c r="C6" i="2"/>
  <c r="B6" i="2"/>
  <c r="A6" i="2"/>
  <c r="E5" i="2"/>
  <c r="D5" i="2"/>
  <c r="C5" i="2"/>
  <c r="B5" i="2"/>
  <c r="A5" i="2"/>
  <c r="E4" i="2"/>
  <c r="D4" i="2"/>
  <c r="C4" i="2"/>
  <c r="B4" i="2"/>
  <c r="E3" i="2"/>
  <c r="D3" i="2"/>
  <c r="C3" i="2"/>
  <c r="B3" i="2"/>
  <c r="A3" i="2"/>
  <c r="AO2" i="2"/>
  <c r="AL2" i="2"/>
  <c r="AK2" i="2"/>
  <c r="AJ2" i="2"/>
  <c r="AE2" i="2"/>
  <c r="AD2" i="2"/>
  <c r="AC2" i="2"/>
  <c r="AB2" i="2"/>
  <c r="AA2" i="2"/>
  <c r="Z2" i="2"/>
  <c r="Y2" i="2"/>
  <c r="V2" i="2"/>
  <c r="U2" i="2"/>
  <c r="T2" i="2"/>
  <c r="O2" i="2"/>
  <c r="N2" i="2"/>
  <c r="M2" i="2"/>
  <c r="L2" i="2"/>
  <c r="K2" i="2"/>
  <c r="J2" i="2"/>
  <c r="I2" i="2"/>
  <c r="F2" i="2"/>
  <c r="E2" i="2"/>
  <c r="D2" i="2"/>
  <c r="C2" i="2"/>
  <c r="B2" i="2"/>
  <c r="A2" i="2"/>
  <c r="AG14" i="3"/>
  <c r="Z3" i="3"/>
  <c r="P14" i="3"/>
  <c r="Y3" i="3"/>
  <c r="AF11" i="3"/>
  <c r="Q21" i="3"/>
  <c r="J10" i="3"/>
  <c r="AL19" i="3"/>
  <c r="T9" i="3"/>
  <c r="AF18" i="3"/>
  <c r="AO7" i="3"/>
  <c r="Z17" i="3"/>
  <c r="AI6" i="3"/>
  <c r="T16" i="3"/>
  <c r="R6" i="3"/>
  <c r="I14" i="3"/>
  <c r="G4" i="3"/>
  <c r="AI13" i="3"/>
  <c r="AG3" i="3"/>
  <c r="G14" i="3"/>
  <c r="AG20" i="3"/>
  <c r="Q13" i="3"/>
  <c r="AC16" i="3"/>
  <c r="K12" i="3"/>
  <c r="AM21" i="3"/>
  <c r="AF10" i="3"/>
  <c r="AF20" i="3"/>
  <c r="AO9" i="3"/>
  <c r="K6" i="3"/>
  <c r="I7" i="3"/>
  <c r="M5" i="3"/>
  <c r="AD12" i="3"/>
  <c r="R13" i="3"/>
  <c r="L12" i="3"/>
  <c r="G21" i="3"/>
  <c r="AA19" i="3"/>
  <c r="S14" i="3"/>
  <c r="AM19" i="3"/>
  <c r="AG18" i="3"/>
  <c r="K17" i="3"/>
  <c r="N5" i="3"/>
  <c r="AI3" i="3"/>
  <c r="N12" i="3"/>
  <c r="AO21" i="3"/>
  <c r="F5" i="3"/>
  <c r="AH20" i="3"/>
  <c r="K19" i="3"/>
  <c r="F12" i="3"/>
  <c r="G19" i="3"/>
  <c r="AB17" i="3"/>
  <c r="V16" i="3"/>
  <c r="P15" i="3"/>
  <c r="AK13" i="3"/>
  <c r="Z11" i="3"/>
  <c r="Z21" i="3"/>
  <c r="G11" i="3"/>
  <c r="Q10" i="3"/>
  <c r="V18" i="3"/>
  <c r="AG11" i="3"/>
  <c r="L17" i="3"/>
  <c r="AA21" i="3"/>
  <c r="F8" i="3"/>
  <c r="Q14" i="3"/>
  <c r="J3" i="3"/>
  <c r="AA13" i="3"/>
  <c r="I3" i="3"/>
  <c r="P11" i="3"/>
  <c r="AB20" i="3"/>
  <c r="AK9" i="3"/>
  <c r="V19" i="3"/>
  <c r="AE8" i="3"/>
  <c r="P18" i="3"/>
  <c r="Y7" i="3"/>
  <c r="J17" i="3"/>
  <c r="S6" i="3"/>
  <c r="AE15" i="3"/>
  <c r="AC5" i="3"/>
  <c r="AJ13" i="3"/>
  <c r="AH3" i="3"/>
  <c r="S13" i="3"/>
  <c r="Q3" i="3"/>
  <c r="AH13" i="3"/>
  <c r="M16" i="3"/>
  <c r="AB12" i="3"/>
  <c r="AO12" i="3"/>
  <c r="AL11" i="3"/>
  <c r="W21" i="3"/>
  <c r="P10" i="3"/>
  <c r="P20" i="3"/>
  <c r="Y9" i="3"/>
  <c r="F21" i="3"/>
  <c r="K13" i="3"/>
  <c r="AA10" i="3"/>
  <c r="L20" i="3"/>
  <c r="U9" i="3"/>
  <c r="F19" i="3"/>
  <c r="O8" i="3"/>
  <c r="AA17" i="3"/>
  <c r="AK16" i="3"/>
  <c r="AD5" i="3"/>
  <c r="O15" i="3"/>
  <c r="T13" i="3"/>
  <c r="R3" i="3"/>
  <c r="G18" i="3"/>
  <c r="Y12" i="3"/>
  <c r="AK8" i="3"/>
  <c r="V11" i="3"/>
  <c r="AA9" i="3"/>
  <c r="I9" i="3"/>
  <c r="AL12" i="3"/>
  <c r="AH21" i="3"/>
  <c r="K10" i="3"/>
  <c r="AF8" i="3"/>
  <c r="Z7" i="3"/>
  <c r="AJ6" i="3"/>
  <c r="U16" i="3"/>
  <c r="Z14" i="3"/>
  <c r="AE12" i="3"/>
  <c r="AM18" i="3"/>
  <c r="P7" i="3"/>
  <c r="AC12" i="3"/>
  <c r="AM11" i="3"/>
  <c r="F11" i="3"/>
  <c r="K9" i="3"/>
  <c r="AJ8" i="3"/>
  <c r="W12" i="3"/>
  <c r="AL5" i="3"/>
  <c r="AC20" i="3"/>
  <c r="V9" i="3"/>
  <c r="AA7" i="3"/>
  <c r="AK6" i="3"/>
  <c r="AE5" i="3"/>
  <c r="Y4" i="3"/>
  <c r="N13" i="3"/>
  <c r="AA6" i="3"/>
  <c r="Y11" i="3"/>
  <c r="I21" i="3"/>
  <c r="S20" i="3"/>
  <c r="AC19" i="3"/>
  <c r="V8" i="3"/>
  <c r="AE7" i="3"/>
  <c r="G12" i="3"/>
  <c r="AI21" i="3"/>
  <c r="M20" i="3"/>
  <c r="F9" i="3"/>
  <c r="AH18" i="3"/>
  <c r="U6" i="3"/>
  <c r="O10" i="3"/>
  <c r="S10" i="3"/>
  <c r="O7" i="3"/>
  <c r="AB13" i="3"/>
  <c r="L13" i="3"/>
  <c r="AM12" i="3"/>
  <c r="T11" i="3"/>
  <c r="V12" i="3"/>
  <c r="R21" i="3"/>
  <c r="AL9" i="3"/>
  <c r="W19" i="3"/>
  <c r="P8" i="3"/>
  <c r="Q18" i="3"/>
  <c r="J7" i="3"/>
  <c r="AL16" i="3"/>
  <c r="T6" i="3"/>
  <c r="AF15" i="3"/>
  <c r="AO4" i="3"/>
  <c r="J14" i="3"/>
  <c r="S3" i="3"/>
  <c r="O12" i="3"/>
  <c r="AE10" i="3"/>
  <c r="AO11" i="3"/>
  <c r="AB3" i="3"/>
  <c r="M12" i="3"/>
  <c r="Y21" i="3"/>
  <c r="W11" i="3"/>
  <c r="AI20" i="3"/>
  <c r="AG10" i="3"/>
  <c r="R20" i="3"/>
  <c r="AL8" i="3"/>
  <c r="AL18" i="3"/>
  <c r="T8" i="3"/>
  <c r="AI10" i="3"/>
  <c r="K7" i="3"/>
  <c r="AJ21" i="3"/>
  <c r="AH11" i="3"/>
  <c r="S21" i="3"/>
  <c r="Q11" i="3"/>
  <c r="AI18" i="3"/>
  <c r="AG8" i="3"/>
  <c r="R18" i="3"/>
  <c r="AL6" i="3"/>
  <c r="AM16" i="3"/>
  <c r="AF5" i="3"/>
  <c r="AG15" i="3"/>
  <c r="Z4" i="3"/>
  <c r="K14" i="3"/>
  <c r="AJ3" i="3"/>
  <c r="AF12" i="3"/>
  <c r="AB21" i="3"/>
  <c r="AK10" i="3"/>
  <c r="K21" i="3"/>
  <c r="AJ10" i="3"/>
  <c r="AK20" i="3"/>
  <c r="AD9" i="3"/>
  <c r="T20" i="3"/>
  <c r="R10" i="3"/>
  <c r="N19" i="3"/>
  <c r="L9" i="3"/>
  <c r="AI17" i="3"/>
  <c r="AG7" i="3"/>
  <c r="AG17" i="3"/>
  <c r="Z6" i="3"/>
  <c r="AC10" i="3"/>
  <c r="L10" i="3"/>
  <c r="AB7" i="3"/>
  <c r="F6" i="3"/>
  <c r="AA4" i="3"/>
  <c r="V13" i="3"/>
  <c r="AA11" i="3"/>
  <c r="AF9" i="3"/>
  <c r="AE9" i="3"/>
  <c r="AO8" i="3"/>
  <c r="M9" i="3"/>
  <c r="Y18" i="3"/>
  <c r="AD16" i="3"/>
  <c r="AB16" i="3"/>
  <c r="M10" i="3"/>
  <c r="AM9" i="3"/>
  <c r="L7" i="3"/>
  <c r="AG5" i="3"/>
  <c r="K4" i="3"/>
  <c r="U3" i="3"/>
  <c r="Z9" i="3"/>
  <c r="W20" i="3"/>
  <c r="F20" i="3"/>
  <c r="P19" i="3"/>
  <c r="Z18" i="3"/>
  <c r="I18" i="3"/>
  <c r="G8" i="3"/>
  <c r="L6" i="3"/>
  <c r="U5" i="3"/>
  <c r="Z16" i="3"/>
  <c r="M11" i="3"/>
  <c r="S16" i="3"/>
  <c r="K15" i="3"/>
  <c r="M13" i="3"/>
  <c r="I4" i="3"/>
  <c r="AD19" i="3"/>
  <c r="T21" i="3"/>
  <c r="R11" i="3"/>
  <c r="AD20" i="3"/>
  <c r="AB10" i="3"/>
  <c r="S18" i="3"/>
  <c r="Q8" i="3"/>
  <c r="AC17" i="3"/>
  <c r="V6" i="3"/>
  <c r="W16" i="3"/>
  <c r="P5" i="3"/>
  <c r="Q15" i="3"/>
  <c r="J4" i="3"/>
  <c r="AL13" i="3"/>
  <c r="T3" i="3"/>
  <c r="P12" i="3"/>
  <c r="L21" i="3"/>
  <c r="U10" i="3"/>
  <c r="AL20" i="3"/>
  <c r="T10" i="3"/>
  <c r="U20" i="3"/>
  <c r="N9" i="3"/>
  <c r="AE19" i="3"/>
  <c r="AC9" i="3"/>
  <c r="AO18" i="3"/>
  <c r="AM8" i="3"/>
  <c r="S17" i="3"/>
  <c r="Q7" i="3"/>
  <c r="Q17" i="3"/>
  <c r="J6" i="3"/>
  <c r="AE20" i="3"/>
  <c r="N20" i="3"/>
  <c r="AD17" i="3"/>
  <c r="M17" i="3"/>
  <c r="G16" i="3"/>
  <c r="AB14" i="3"/>
  <c r="AK3" i="3"/>
  <c r="AL21" i="3"/>
  <c r="AM20" i="3"/>
  <c r="V20" i="3"/>
  <c r="AF19" i="3"/>
  <c r="O19" i="3"/>
  <c r="W8" i="3"/>
  <c r="AB6" i="3"/>
  <c r="AK5" i="3"/>
  <c r="O20" i="3"/>
  <c r="AO19" i="3"/>
  <c r="N17" i="3"/>
  <c r="AI15" i="3"/>
  <c r="AH15" i="3"/>
  <c r="L14" i="3"/>
  <c r="F13" i="3"/>
  <c r="K11" i="3"/>
  <c r="P9" i="3"/>
  <c r="O9" i="3"/>
  <c r="Y8" i="3"/>
  <c r="AI7" i="3"/>
  <c r="N16" i="3"/>
  <c r="L16" i="3"/>
  <c r="AA16" i="3"/>
  <c r="O21" i="3"/>
  <c r="L8" i="3"/>
  <c r="AA5" i="3"/>
  <c r="AJ4" i="3"/>
  <c r="J9" i="3"/>
  <c r="O5" i="3"/>
  <c r="AJ20" i="3"/>
  <c r="Z19" i="3"/>
  <c r="AI8" i="3"/>
  <c r="Y19" i="3"/>
  <c r="W9" i="3"/>
  <c r="AO16" i="3"/>
  <c r="AM6" i="3"/>
  <c r="S15" i="3"/>
  <c r="Q5" i="3"/>
  <c r="R15" i="3"/>
  <c r="AL3" i="3"/>
  <c r="AM13" i="3"/>
  <c r="AH17" i="3"/>
  <c r="AG12" i="3"/>
  <c r="L3" i="3"/>
  <c r="AL10" i="3"/>
  <c r="G20" i="3"/>
  <c r="AA8" i="3"/>
  <c r="AG19" i="3"/>
  <c r="Z8" i="3"/>
  <c r="AA18" i="3"/>
  <c r="I8" i="3"/>
  <c r="J18" i="3"/>
  <c r="S7" i="3"/>
  <c r="AJ17" i="3"/>
  <c r="AH7" i="3"/>
  <c r="AO15" i="3"/>
  <c r="AM5" i="3"/>
  <c r="AM15" i="3"/>
  <c r="AF4" i="3"/>
  <c r="I16" i="3"/>
  <c r="M14" i="3"/>
  <c r="AD21" i="3"/>
  <c r="M21" i="3"/>
  <c r="AL7" i="3"/>
  <c r="AB18" i="3"/>
  <c r="AL17" i="3"/>
  <c r="U17" i="3"/>
  <c r="AE16" i="3"/>
  <c r="AC6" i="3"/>
  <c r="G5" i="3"/>
  <c r="AA3" i="3"/>
  <c r="U18" i="3"/>
  <c r="T18" i="3"/>
  <c r="R8" i="3"/>
  <c r="AJ15" i="3"/>
  <c r="AO13" i="3"/>
  <c r="AM3" i="3"/>
  <c r="AI12" i="3"/>
  <c r="AH12" i="3"/>
  <c r="L11" i="3"/>
  <c r="AG9" i="3"/>
  <c r="AC18" i="3"/>
  <c r="L18" i="3"/>
  <c r="V17" i="3"/>
  <c r="AF16" i="3"/>
  <c r="AO5" i="3"/>
  <c r="M6" i="3"/>
  <c r="AH4" i="3"/>
  <c r="K3" i="3"/>
  <c r="AJ12" i="3"/>
  <c r="N18" i="3"/>
  <c r="Q16" i="3"/>
  <c r="AK14" i="3"/>
  <c r="M3" i="3"/>
  <c r="F16" i="3"/>
  <c r="I11" i="3"/>
  <c r="F18" i="3"/>
  <c r="J19" i="3"/>
  <c r="S8" i="3"/>
  <c r="I19" i="3"/>
  <c r="G9" i="3"/>
  <c r="Y16" i="3"/>
  <c r="W6" i="3"/>
  <c r="AD14" i="3"/>
  <c r="AB4" i="3"/>
  <c r="AC14" i="3"/>
  <c r="V3" i="3"/>
  <c r="W13" i="3"/>
  <c r="V5" i="3"/>
  <c r="Q12" i="3"/>
  <c r="AC21" i="3"/>
  <c r="V10" i="3"/>
  <c r="AH19" i="3"/>
  <c r="K8" i="3"/>
  <c r="Q19" i="3"/>
  <c r="J8" i="3"/>
  <c r="K18" i="3"/>
  <c r="AJ7" i="3"/>
  <c r="AK17" i="3"/>
  <c r="AD6" i="3"/>
  <c r="T17" i="3"/>
  <c r="R7" i="3"/>
  <c r="Y15" i="3"/>
  <c r="W5" i="3"/>
  <c r="W15" i="3"/>
  <c r="P4" i="3"/>
  <c r="AK18" i="3"/>
  <c r="AD7" i="3"/>
  <c r="AJ18" i="3"/>
  <c r="AH8" i="3"/>
  <c r="G6" i="3"/>
  <c r="N14" i="3"/>
  <c r="L4" i="3"/>
  <c r="F3" i="3"/>
  <c r="G13" i="3"/>
  <c r="AB11" i="3"/>
  <c r="F10" i="3"/>
  <c r="R19" i="3"/>
  <c r="AK7" i="3"/>
  <c r="T7" i="3"/>
  <c r="N6" i="3"/>
  <c r="I15" i="3"/>
  <c r="G15" i="3"/>
  <c r="N7" i="3"/>
  <c r="AH5" i="3"/>
  <c r="R17" i="3"/>
  <c r="N21" i="3"/>
  <c r="AI19" i="3"/>
  <c r="V7" i="3"/>
  <c r="U7" i="3"/>
  <c r="AE6" i="3"/>
  <c r="O16" i="3"/>
  <c r="AJ14" i="3"/>
  <c r="AH14" i="3"/>
  <c r="V21" i="3"/>
  <c r="G17" i="3"/>
  <c r="O13" i="3"/>
  <c r="AF17" i="3"/>
  <c r="AO6" i="3"/>
  <c r="AE17" i="3"/>
  <c r="AC7" i="3"/>
  <c r="T15" i="3"/>
  <c r="R5" i="3"/>
  <c r="Y13" i="3"/>
  <c r="W3" i="3"/>
  <c r="S12" i="3"/>
  <c r="AD13" i="3"/>
  <c r="R12" i="3"/>
  <c r="AO20" i="3"/>
  <c r="AM10" i="3"/>
  <c r="S19" i="3"/>
  <c r="Q9" i="3"/>
  <c r="M18" i="3"/>
  <c r="F7" i="3"/>
  <c r="AM17" i="3"/>
  <c r="AF6" i="3"/>
  <c r="F17" i="3"/>
  <c r="O6" i="3"/>
  <c r="P16" i="3"/>
  <c r="Y5" i="3"/>
  <c r="Z15" i="3"/>
  <c r="AI4" i="3"/>
  <c r="T14" i="3"/>
  <c r="R4" i="3"/>
  <c r="R14" i="3"/>
  <c r="Q20" i="3"/>
  <c r="P17" i="3"/>
  <c r="Y6" i="3"/>
  <c r="O17" i="3"/>
  <c r="M7" i="3"/>
  <c r="AE14" i="3"/>
  <c r="AC4" i="3"/>
  <c r="I13" i="3"/>
  <c r="G3" i="3"/>
  <c r="AD11" i="3"/>
  <c r="AE21" i="3"/>
  <c r="AC11" i="3"/>
  <c r="Y20" i="3"/>
  <c r="W10" i="3"/>
  <c r="AD18" i="3"/>
  <c r="AB8" i="3"/>
  <c r="AI16" i="3"/>
  <c r="AG6" i="3"/>
  <c r="W17" i="3"/>
  <c r="P6" i="3"/>
  <c r="AG16" i="3"/>
  <c r="Z5" i="3"/>
  <c r="AA15" i="3"/>
  <c r="I5" i="3"/>
  <c r="J15" i="3"/>
  <c r="S4" i="3"/>
  <c r="AE13" i="3"/>
  <c r="AC3" i="3"/>
  <c r="AC13" i="3"/>
  <c r="AI14" i="3"/>
  <c r="I6" i="3"/>
  <c r="AI5" i="3"/>
  <c r="O14" i="3"/>
  <c r="M4" i="3"/>
  <c r="N11" i="3"/>
  <c r="I20" i="3"/>
  <c r="G10" i="3"/>
  <c r="Q6" i="3"/>
  <c r="J5" i="3"/>
  <c r="AD3" i="3"/>
  <c r="U21" i="3"/>
  <c r="U13" i="3"/>
  <c r="J21" i="3"/>
  <c r="M19" i="3"/>
  <c r="K16" i="3"/>
  <c r="AJ5" i="3"/>
  <c r="J16" i="3"/>
  <c r="S5" i="3"/>
  <c r="Z13" i="3"/>
  <c r="L19" i="3"/>
  <c r="T12" i="3"/>
  <c r="AF21" i="3"/>
  <c r="AO10" i="3"/>
  <c r="Z20" i="3"/>
  <c r="AI9" i="3"/>
  <c r="AJ19" i="3"/>
  <c r="AH9" i="3"/>
  <c r="AO17" i="3"/>
  <c r="AM7" i="3"/>
  <c r="AD15" i="3"/>
  <c r="AB5" i="3"/>
  <c r="AH16" i="3"/>
  <c r="K5" i="3"/>
  <c r="AB15" i="3"/>
  <c r="AK4" i="3"/>
  <c r="AL14" i="3"/>
  <c r="T4" i="3"/>
  <c r="U14" i="3"/>
  <c r="N3" i="3"/>
  <c r="Z12" i="3"/>
  <c r="I12" i="3"/>
  <c r="AI11" i="3"/>
  <c r="AD4" i="3"/>
  <c r="Y10" i="3"/>
  <c r="S9" i="3"/>
  <c r="R9" i="3"/>
  <c r="W7" i="3"/>
  <c r="L5" i="3"/>
  <c r="AL4" i="3"/>
  <c r="U4" i="3"/>
  <c r="AE3" i="3"/>
  <c r="W18" i="3"/>
  <c r="U8" i="3"/>
  <c r="O11" i="3"/>
  <c r="AD8" i="3"/>
  <c r="AC8" i="3"/>
  <c r="AO14" i="3"/>
  <c r="AC15" i="3"/>
  <c r="AF3" i="3"/>
  <c r="O3" i="3"/>
  <c r="AK21" i="3"/>
  <c r="O4" i="3"/>
  <c r="AO3" i="3"/>
  <c r="AG21" i="3"/>
  <c r="K20" i="3"/>
  <c r="U19" i="3"/>
  <c r="M8" i="3"/>
  <c r="AH6" i="3"/>
  <c r="W4" i="3"/>
  <c r="W14" i="3"/>
  <c r="AA12" i="3"/>
  <c r="U11" i="3"/>
  <c r="AA14" i="3"/>
  <c r="AB9" i="3"/>
  <c r="AL15" i="3"/>
  <c r="T5" i="3"/>
  <c r="AK15" i="3"/>
  <c r="J13" i="3"/>
  <c r="AF7" i="3"/>
  <c r="AE11" i="3"/>
  <c r="P21" i="3"/>
  <c r="J20" i="3"/>
  <c r="T19" i="3"/>
  <c r="Y17" i="3"/>
  <c r="N15" i="3"/>
  <c r="R16" i="3"/>
  <c r="L15" i="3"/>
  <c r="V14" i="3"/>
  <c r="AF13" i="3"/>
  <c r="J12" i="3"/>
  <c r="S11" i="3"/>
  <c r="AA20" i="3"/>
  <c r="AK19" i="3"/>
  <c r="AE18" i="3"/>
  <c r="G7" i="3"/>
  <c r="AM4" i="3"/>
  <c r="V4" i="3"/>
  <c r="AM14" i="3"/>
  <c r="F14" i="3"/>
  <c r="P13" i="3"/>
  <c r="AK11" i="3"/>
  <c r="AD10" i="3"/>
  <c r="F15" i="3"/>
  <c r="AF14" i="3"/>
  <c r="U12" i="3"/>
  <c r="Z10" i="3"/>
  <c r="AJ9" i="3"/>
  <c r="N8" i="3"/>
  <c r="O18" i="3"/>
  <c r="AJ16" i="3"/>
  <c r="Y14" i="3"/>
  <c r="M15" i="3"/>
  <c r="F4" i="3"/>
  <c r="P3" i="3"/>
  <c r="AB19" i="3"/>
  <c r="AG4" i="3"/>
  <c r="N10" i="3"/>
  <c r="J11" i="3"/>
  <c r="AH10" i="3"/>
  <c r="V15" i="3"/>
  <c r="AE4" i="3"/>
  <c r="U15" i="3"/>
  <c r="N4" i="3"/>
  <c r="AK12" i="3"/>
  <c r="Q4" i="3"/>
  <c r="I10" i="3"/>
  <c r="I17" i="3"/>
  <c r="AJ11" i="3"/>
  <c r="AG13" i="3"/>
  <c r="AK9" i="2" l="1"/>
  <c r="L14" i="2"/>
  <c r="AD20" i="2"/>
  <c r="AJ3" i="2"/>
  <c r="T3" i="2"/>
  <c r="AE4" i="2"/>
  <c r="O4" i="2"/>
  <c r="Z5" i="2"/>
  <c r="J5" i="2"/>
  <c r="AK6" i="2"/>
  <c r="U6" i="2"/>
  <c r="AF7" i="2"/>
  <c r="P7" i="2"/>
  <c r="AA8" i="2"/>
  <c r="K8" i="2"/>
  <c r="AL9" i="2"/>
  <c r="V9" i="2"/>
  <c r="F9" i="2"/>
  <c r="AG10" i="2"/>
  <c r="Q10" i="2"/>
  <c r="AB11" i="2"/>
  <c r="L11" i="2"/>
  <c r="AH13" i="2"/>
  <c r="R13" i="2"/>
  <c r="AC14" i="2"/>
  <c r="M14" i="2"/>
  <c r="AN15" i="2"/>
  <c r="X15" i="2"/>
  <c r="H15" i="2"/>
  <c r="AI16" i="2"/>
  <c r="S16" i="2"/>
  <c r="AD17" i="2"/>
  <c r="N17" i="2"/>
  <c r="AO18" i="2"/>
  <c r="Y18" i="2"/>
  <c r="I18" i="2"/>
  <c r="AJ19" i="2"/>
  <c r="T19" i="2"/>
  <c r="AE20" i="2"/>
  <c r="O20" i="2"/>
  <c r="Z21" i="2"/>
  <c r="J21" i="2"/>
  <c r="Z8" i="2"/>
  <c r="AL12" i="2"/>
  <c r="AH3" i="2"/>
  <c r="R3" i="2"/>
  <c r="AC4" i="2"/>
  <c r="M4" i="2"/>
  <c r="AN5" i="2"/>
  <c r="X5" i="2"/>
  <c r="H5" i="2"/>
  <c r="AI6" i="2"/>
  <c r="S6" i="2"/>
  <c r="AD7" i="2"/>
  <c r="N7" i="2"/>
  <c r="AO8" i="2"/>
  <c r="Y8" i="2"/>
  <c r="I8" i="2"/>
  <c r="AJ9" i="2"/>
  <c r="T9" i="2"/>
  <c r="AE10" i="2"/>
  <c r="O10" i="2"/>
  <c r="Z11" i="2"/>
  <c r="J11" i="2"/>
  <c r="AK12" i="2"/>
  <c r="U12" i="2"/>
  <c r="AF13" i="2"/>
  <c r="P13" i="2"/>
  <c r="AA14" i="2"/>
  <c r="K14" i="2"/>
  <c r="AL15" i="2"/>
  <c r="V15" i="2"/>
  <c r="F15" i="2"/>
  <c r="AG16" i="2"/>
  <c r="Q16" i="2"/>
  <c r="AB17" i="2"/>
  <c r="L17" i="2"/>
  <c r="AH19" i="2"/>
  <c r="R19" i="2"/>
  <c r="AC20" i="2"/>
  <c r="M20" i="2"/>
  <c r="AN21" i="2"/>
  <c r="X21" i="2"/>
  <c r="H21" i="2"/>
  <c r="N4" i="2"/>
  <c r="K11" i="2"/>
  <c r="X18" i="2"/>
  <c r="AG3" i="2"/>
  <c r="Q3" i="2"/>
  <c r="AB4" i="2"/>
  <c r="L4" i="2"/>
  <c r="AH6" i="2"/>
  <c r="R6" i="2"/>
  <c r="AC7" i="2"/>
  <c r="M7" i="2"/>
  <c r="AN8" i="2"/>
  <c r="X8" i="2"/>
  <c r="H8" i="2"/>
  <c r="AI9" i="2"/>
  <c r="S9" i="2"/>
  <c r="AD10" i="2"/>
  <c r="N10" i="2"/>
  <c r="AO11" i="2"/>
  <c r="Y11" i="2"/>
  <c r="I11" i="2"/>
  <c r="AJ12" i="2"/>
  <c r="T12" i="2"/>
  <c r="AE13" i="2"/>
  <c r="O13" i="2"/>
  <c r="Z14" i="2"/>
  <c r="J14" i="2"/>
  <c r="AK15" i="2"/>
  <c r="U15" i="2"/>
  <c r="AF16" i="2"/>
  <c r="P16" i="2"/>
  <c r="AA17" i="2"/>
  <c r="K17" i="2"/>
  <c r="AL18" i="2"/>
  <c r="V18" i="2"/>
  <c r="F18" i="2"/>
  <c r="AG19" i="2"/>
  <c r="Q19" i="2"/>
  <c r="AB20" i="2"/>
  <c r="L20" i="2"/>
  <c r="AO5" i="2"/>
  <c r="J8" i="2"/>
  <c r="F12" i="2"/>
  <c r="R16" i="2"/>
  <c r="S19" i="2"/>
  <c r="AF3" i="2"/>
  <c r="P3" i="2"/>
  <c r="AA4" i="2"/>
  <c r="K4" i="2"/>
  <c r="AL5" i="2"/>
  <c r="V5" i="2"/>
  <c r="F5" i="2"/>
  <c r="AG6" i="2"/>
  <c r="Q6" i="2"/>
  <c r="AB7" i="2"/>
  <c r="L7" i="2"/>
  <c r="AH9" i="2"/>
  <c r="R9" i="2"/>
  <c r="AC10" i="2"/>
  <c r="M10" i="2"/>
  <c r="AN11" i="2"/>
  <c r="X11" i="2"/>
  <c r="H11" i="2"/>
  <c r="AI12" i="2"/>
  <c r="S12" i="2"/>
  <c r="AD13" i="2"/>
  <c r="N13" i="2"/>
  <c r="AO14" i="2"/>
  <c r="Y14" i="2"/>
  <c r="I14" i="2"/>
  <c r="AJ15" i="2"/>
  <c r="T15" i="2"/>
  <c r="AE16" i="2"/>
  <c r="O16" i="2"/>
  <c r="Z17" i="2"/>
  <c r="J17" i="2"/>
  <c r="AK18" i="2"/>
  <c r="U18" i="2"/>
  <c r="AF19" i="2"/>
  <c r="P19" i="2"/>
  <c r="AA20" i="2"/>
  <c r="K20" i="2"/>
  <c r="AL21" i="2"/>
  <c r="V21" i="2"/>
  <c r="F21" i="2"/>
  <c r="V12" i="2"/>
  <c r="AH16" i="2"/>
  <c r="N20" i="2"/>
  <c r="AE3" i="2"/>
  <c r="O3" i="2"/>
  <c r="Z4" i="2"/>
  <c r="J4" i="2"/>
  <c r="AK5" i="2"/>
  <c r="U5" i="2"/>
  <c r="AF6" i="2"/>
  <c r="P6" i="2"/>
  <c r="AA7" i="2"/>
  <c r="K7" i="2"/>
  <c r="AL8" i="2"/>
  <c r="V8" i="2"/>
  <c r="F8" i="2"/>
  <c r="AG9" i="2"/>
  <c r="Q9" i="2"/>
  <c r="AB10" i="2"/>
  <c r="L10" i="2"/>
  <c r="AH12" i="2"/>
  <c r="R12" i="2"/>
  <c r="AC13" i="2"/>
  <c r="M13" i="2"/>
  <c r="AN14" i="2"/>
  <c r="X14" i="2"/>
  <c r="H14" i="2"/>
  <c r="AI15" i="2"/>
  <c r="S15" i="2"/>
  <c r="AD16" i="2"/>
  <c r="N16" i="2"/>
  <c r="AO17" i="2"/>
  <c r="Y17" i="2"/>
  <c r="I17" i="2"/>
  <c r="AJ18" i="2"/>
  <c r="T18" i="2"/>
  <c r="AE19" i="2"/>
  <c r="O19" i="2"/>
  <c r="Z20" i="2"/>
  <c r="J20" i="2"/>
  <c r="AK21" i="2"/>
  <c r="U21" i="2"/>
  <c r="S3" i="2"/>
  <c r="AE7" i="2"/>
  <c r="AN18" i="2"/>
  <c r="AD3" i="2"/>
  <c r="N3" i="2"/>
  <c r="AO4" i="2"/>
  <c r="Y4" i="2"/>
  <c r="I4" i="2"/>
  <c r="AJ5" i="2"/>
  <c r="T5" i="2"/>
  <c r="AE6" i="2"/>
  <c r="O6" i="2"/>
  <c r="Z7" i="2"/>
  <c r="J7" i="2"/>
  <c r="AK8" i="2"/>
  <c r="U8" i="2"/>
  <c r="AF9" i="2"/>
  <c r="P9" i="2"/>
  <c r="AA10" i="2"/>
  <c r="K10" i="2"/>
  <c r="AL11" i="2"/>
  <c r="V11" i="2"/>
  <c r="F11" i="2"/>
  <c r="AG12" i="2"/>
  <c r="Q12" i="2"/>
  <c r="AB13" i="2"/>
  <c r="L13" i="2"/>
  <c r="AH15" i="2"/>
  <c r="R15" i="2"/>
  <c r="AC16" i="2"/>
  <c r="M16" i="2"/>
  <c r="AN17" i="2"/>
  <c r="X17" i="2"/>
  <c r="H17" i="2"/>
  <c r="AI18" i="2"/>
  <c r="S18" i="2"/>
  <c r="AD19" i="2"/>
  <c r="N19" i="2"/>
  <c r="AO20" i="2"/>
  <c r="Y20" i="2"/>
  <c r="I20" i="2"/>
  <c r="AJ21" i="2"/>
  <c r="T21" i="2"/>
  <c r="T6" i="2"/>
  <c r="P10" i="2"/>
  <c r="H18" i="2"/>
  <c r="AC3" i="2"/>
  <c r="M3" i="2"/>
  <c r="AN4" i="2"/>
  <c r="X4" i="2"/>
  <c r="H4" i="2"/>
  <c r="AI5" i="2"/>
  <c r="S5" i="2"/>
  <c r="AD6" i="2"/>
  <c r="N6" i="2"/>
  <c r="AO7" i="2"/>
  <c r="Y7" i="2"/>
  <c r="I7" i="2"/>
  <c r="AJ8" i="2"/>
  <c r="T8" i="2"/>
  <c r="AE9" i="2"/>
  <c r="O9" i="2"/>
  <c r="Z10" i="2"/>
  <c r="J10" i="2"/>
  <c r="AK11" i="2"/>
  <c r="U11" i="2"/>
  <c r="AF12" i="2"/>
  <c r="P12" i="2"/>
  <c r="AA13" i="2"/>
  <c r="K13" i="2"/>
  <c r="AL14" i="2"/>
  <c r="V14" i="2"/>
  <c r="F14" i="2"/>
  <c r="AG15" i="2"/>
  <c r="Q15" i="2"/>
  <c r="AB16" i="2"/>
  <c r="L16" i="2"/>
  <c r="AH18" i="2"/>
  <c r="R18" i="2"/>
  <c r="AC19" i="2"/>
  <c r="M19" i="2"/>
  <c r="AN20" i="2"/>
  <c r="X20" i="2"/>
  <c r="H20" i="2"/>
  <c r="AI21" i="2"/>
  <c r="S21" i="2"/>
  <c r="AF10" i="2"/>
  <c r="AG13" i="2"/>
  <c r="AB3" i="2"/>
  <c r="L3" i="2"/>
  <c r="AH5" i="2"/>
  <c r="R5" i="2"/>
  <c r="AC6" i="2"/>
  <c r="M6" i="2"/>
  <c r="AN7" i="2"/>
  <c r="X7" i="2"/>
  <c r="H7" i="2"/>
  <c r="AI8" i="2"/>
  <c r="S8" i="2"/>
  <c r="AD9" i="2"/>
  <c r="N9" i="2"/>
  <c r="AO10" i="2"/>
  <c r="Y10" i="2"/>
  <c r="I10" i="2"/>
  <c r="AJ11" i="2"/>
  <c r="T11" i="2"/>
  <c r="AE12" i="2"/>
  <c r="O12" i="2"/>
  <c r="Z13" i="2"/>
  <c r="J13" i="2"/>
  <c r="AK14" i="2"/>
  <c r="U14" i="2"/>
  <c r="AF15" i="2"/>
  <c r="P15" i="2"/>
  <c r="AA16" i="2"/>
  <c r="K16" i="2"/>
  <c r="AL17" i="2"/>
  <c r="V17" i="2"/>
  <c r="F17" i="2"/>
  <c r="AG18" i="2"/>
  <c r="Q18" i="2"/>
  <c r="AB19" i="2"/>
  <c r="L19" i="2"/>
  <c r="AH21" i="2"/>
  <c r="R21" i="2"/>
  <c r="AI3" i="2"/>
  <c r="U9" i="2"/>
  <c r="I21" i="2"/>
  <c r="AA3" i="2"/>
  <c r="K3" i="2"/>
  <c r="AL4" i="2"/>
  <c r="V4" i="2"/>
  <c r="F4" i="2"/>
  <c r="AG5" i="2"/>
  <c r="Q5" i="2"/>
  <c r="AB6" i="2"/>
  <c r="L6" i="2"/>
  <c r="AH8" i="2"/>
  <c r="R8" i="2"/>
  <c r="AC9" i="2"/>
  <c r="M9" i="2"/>
  <c r="AN10" i="2"/>
  <c r="X10" i="2"/>
  <c r="H10" i="2"/>
  <c r="AI11" i="2"/>
  <c r="S11" i="2"/>
  <c r="AD12" i="2"/>
  <c r="N12" i="2"/>
  <c r="AO13" i="2"/>
  <c r="Y13" i="2"/>
  <c r="I13" i="2"/>
  <c r="AJ14" i="2"/>
  <c r="T14" i="2"/>
  <c r="AE15" i="2"/>
  <c r="O15" i="2"/>
  <c r="Z16" i="2"/>
  <c r="J16" i="2"/>
  <c r="AK17" i="2"/>
  <c r="U17" i="2"/>
  <c r="AF18" i="2"/>
  <c r="P18" i="2"/>
  <c r="AA19" i="2"/>
  <c r="K19" i="2"/>
  <c r="AL20" i="2"/>
  <c r="V20" i="2"/>
  <c r="F20" i="2"/>
  <c r="AG21" i="2"/>
  <c r="Q21" i="2"/>
  <c r="Y5" i="2"/>
  <c r="M17" i="2"/>
  <c r="Z3" i="2"/>
  <c r="J3" i="2"/>
  <c r="AK4" i="2"/>
  <c r="U4" i="2"/>
  <c r="AF5" i="2"/>
  <c r="P5" i="2"/>
  <c r="AA6" i="2"/>
  <c r="K6" i="2"/>
  <c r="AL7" i="2"/>
  <c r="V7" i="2"/>
  <c r="F7" i="2"/>
  <c r="AG8" i="2"/>
  <c r="Q8" i="2"/>
  <c r="AB9" i="2"/>
  <c r="L9" i="2"/>
  <c r="AH11" i="2"/>
  <c r="R11" i="2"/>
  <c r="AC12" i="2"/>
  <c r="M12" i="2"/>
  <c r="AN13" i="2"/>
  <c r="X13" i="2"/>
  <c r="H13" i="2"/>
  <c r="AI14" i="2"/>
  <c r="S14" i="2"/>
  <c r="AD15" i="2"/>
  <c r="N15" i="2"/>
  <c r="AO16" i="2"/>
  <c r="Y16" i="2"/>
  <c r="I16" i="2"/>
  <c r="AJ17" i="2"/>
  <c r="T17" i="2"/>
  <c r="AE18" i="2"/>
  <c r="O18" i="2"/>
  <c r="Z19" i="2"/>
  <c r="J19" i="2"/>
  <c r="AK20" i="2"/>
  <c r="U20" i="2"/>
  <c r="AF21" i="2"/>
  <c r="P21" i="2"/>
  <c r="Q13" i="2"/>
  <c r="AC17" i="2"/>
  <c r="AO3" i="2"/>
  <c r="Y3" i="2"/>
  <c r="I3" i="2"/>
  <c r="AJ4" i="2"/>
  <c r="T4" i="2"/>
  <c r="AE5" i="2"/>
  <c r="O5" i="2"/>
  <c r="Z6" i="2"/>
  <c r="J6" i="2"/>
  <c r="AK7" i="2"/>
  <c r="U7" i="2"/>
  <c r="AF8" i="2"/>
  <c r="P8" i="2"/>
  <c r="AA9" i="2"/>
  <c r="K9" i="2"/>
  <c r="AL10" i="2"/>
  <c r="V10" i="2"/>
  <c r="F10" i="2"/>
  <c r="AG11" i="2"/>
  <c r="Q11" i="2"/>
  <c r="AB12" i="2"/>
  <c r="L12" i="2"/>
  <c r="AH14" i="2"/>
  <c r="R14" i="2"/>
  <c r="AC15" i="2"/>
  <c r="M15" i="2"/>
  <c r="AN16" i="2"/>
  <c r="X16" i="2"/>
  <c r="H16" i="2"/>
  <c r="AI17" i="2"/>
  <c r="S17" i="2"/>
  <c r="AD18" i="2"/>
  <c r="N18" i="2"/>
  <c r="AO19" i="2"/>
  <c r="Y19" i="2"/>
  <c r="I19" i="2"/>
  <c r="AJ20" i="2"/>
  <c r="T20" i="2"/>
  <c r="AE21" i="2"/>
  <c r="O21" i="2"/>
  <c r="Y21" i="2"/>
  <c r="AN3" i="2"/>
  <c r="X3" i="2"/>
  <c r="H3" i="2"/>
  <c r="AI4" i="2"/>
  <c r="S4" i="2"/>
  <c r="AD5" i="2"/>
  <c r="N5" i="2"/>
  <c r="AO6" i="2"/>
  <c r="Y6" i="2"/>
  <c r="I6" i="2"/>
  <c r="AJ7" i="2"/>
  <c r="T7" i="2"/>
  <c r="AE8" i="2"/>
  <c r="O8" i="2"/>
  <c r="Z9" i="2"/>
  <c r="J9" i="2"/>
  <c r="AK10" i="2"/>
  <c r="U10" i="2"/>
  <c r="AF11" i="2"/>
  <c r="P11" i="2"/>
  <c r="AA12" i="2"/>
  <c r="K12" i="2"/>
  <c r="AL13" i="2"/>
  <c r="V13" i="2"/>
  <c r="F13" i="2"/>
  <c r="AG14" i="2"/>
  <c r="Q14" i="2"/>
  <c r="AB15" i="2"/>
  <c r="L15" i="2"/>
  <c r="AH17" i="2"/>
  <c r="R17" i="2"/>
  <c r="AC18" i="2"/>
  <c r="M18" i="2"/>
  <c r="AN19" i="2"/>
  <c r="X19" i="2"/>
  <c r="H19" i="2"/>
  <c r="AI20" i="2"/>
  <c r="S20" i="2"/>
  <c r="AD21" i="2"/>
  <c r="N21" i="2"/>
  <c r="AD4" i="2"/>
  <c r="O7" i="2"/>
  <c r="AI19" i="2"/>
  <c r="AH4" i="2"/>
  <c r="R4" i="2"/>
  <c r="AC5" i="2"/>
  <c r="M5" i="2"/>
  <c r="AN6" i="2"/>
  <c r="X6" i="2"/>
  <c r="H6" i="2"/>
  <c r="AI7" i="2"/>
  <c r="S7" i="2"/>
  <c r="AD8" i="2"/>
  <c r="N8" i="2"/>
  <c r="AO9" i="2"/>
  <c r="Y9" i="2"/>
  <c r="I9" i="2"/>
  <c r="AJ10" i="2"/>
  <c r="T10" i="2"/>
  <c r="AE11" i="2"/>
  <c r="O11" i="2"/>
  <c r="Z12" i="2"/>
  <c r="J12" i="2"/>
  <c r="AK13" i="2"/>
  <c r="U13" i="2"/>
  <c r="AF14" i="2"/>
  <c r="P14" i="2"/>
  <c r="AA15" i="2"/>
  <c r="K15" i="2"/>
  <c r="AL16" i="2"/>
  <c r="V16" i="2"/>
  <c r="F16" i="2"/>
  <c r="AG17" i="2"/>
  <c r="Q17" i="2"/>
  <c r="AB18" i="2"/>
  <c r="L18" i="2"/>
  <c r="AH20" i="2"/>
  <c r="R20" i="2"/>
  <c r="AC21" i="2"/>
  <c r="M21" i="2"/>
  <c r="AJ6" i="2"/>
  <c r="AL3" i="2"/>
  <c r="V3" i="2"/>
  <c r="F3" i="2"/>
  <c r="AG4" i="2"/>
  <c r="Q4" i="2"/>
  <c r="AB5" i="2"/>
  <c r="L5" i="2"/>
  <c r="AH7" i="2"/>
  <c r="R7" i="2"/>
  <c r="AC8" i="2"/>
  <c r="M8" i="2"/>
  <c r="AN9" i="2"/>
  <c r="X9" i="2"/>
  <c r="H9" i="2"/>
  <c r="AI10" i="2"/>
  <c r="S10" i="2"/>
  <c r="AD11" i="2"/>
  <c r="N11" i="2"/>
  <c r="AO12" i="2"/>
  <c r="Y12" i="2"/>
  <c r="I12" i="2"/>
  <c r="AJ13" i="2"/>
  <c r="T13" i="2"/>
  <c r="AE14" i="2"/>
  <c r="O14" i="2"/>
  <c r="Z15" i="2"/>
  <c r="J15" i="2"/>
  <c r="AK16" i="2"/>
  <c r="U16" i="2"/>
  <c r="AF17" i="2"/>
  <c r="P17" i="2"/>
  <c r="AA18" i="2"/>
  <c r="K18" i="2"/>
  <c r="AL19" i="2"/>
  <c r="V19" i="2"/>
  <c r="F19" i="2"/>
  <c r="AG20" i="2"/>
  <c r="Q20" i="2"/>
  <c r="AB21" i="2"/>
  <c r="L21" i="2"/>
  <c r="I5" i="2"/>
  <c r="AA11" i="2"/>
  <c r="AB14" i="2"/>
  <c r="AO21" i="2"/>
  <c r="AK3" i="2"/>
  <c r="U3" i="2"/>
  <c r="AF4" i="2"/>
  <c r="P4" i="2"/>
  <c r="AA5" i="2"/>
  <c r="K5" i="2"/>
  <c r="AL6" i="2"/>
  <c r="V6" i="2"/>
  <c r="F6" i="2"/>
  <c r="AG7" i="2"/>
  <c r="Q7" i="2"/>
  <c r="AB8" i="2"/>
  <c r="L8" i="2"/>
  <c r="AH10" i="2"/>
  <c r="R10" i="2"/>
  <c r="AC11" i="2"/>
  <c r="M11" i="2"/>
  <c r="AN12" i="2"/>
  <c r="X12" i="2"/>
  <c r="H12" i="2"/>
  <c r="AI13" i="2"/>
  <c r="S13" i="2"/>
  <c r="AD14" i="2"/>
  <c r="N14" i="2"/>
  <c r="AO15" i="2"/>
  <c r="Y15" i="2"/>
  <c r="I15" i="2"/>
  <c r="AJ16" i="2"/>
  <c r="T16" i="2"/>
  <c r="AE17" i="2"/>
  <c r="O17" i="2"/>
  <c r="Z18" i="2"/>
  <c r="J18" i="2"/>
  <c r="AK19" i="2"/>
  <c r="U19" i="2"/>
  <c r="AF20" i="2"/>
  <c r="P20" i="2"/>
  <c r="AA21" i="2"/>
  <c r="K21" i="2"/>
  <c r="H2" i="3"/>
  <c r="X2" i="3"/>
  <c r="AN2" i="3"/>
  <c r="B36" i="3"/>
  <c r="H17" i="3"/>
  <c r="AN20" i="3"/>
  <c r="X15" i="3"/>
  <c r="X16" i="3"/>
  <c r="AN13" i="3"/>
  <c r="H7" i="3"/>
  <c r="H10" i="3"/>
  <c r="X21" i="3"/>
  <c r="H4" i="3"/>
  <c r="AN7" i="3"/>
  <c r="X19" i="3"/>
  <c r="AN16" i="3"/>
  <c r="AN3" i="3"/>
  <c r="H20" i="3"/>
  <c r="AN10" i="3"/>
  <c r="X3" i="3"/>
  <c r="H15" i="3"/>
  <c r="X6" i="3"/>
  <c r="X9" i="3"/>
  <c r="X8" i="3"/>
  <c r="H13" i="3"/>
  <c r="AN19" i="3"/>
  <c r="AN6" i="3"/>
  <c r="H19" i="3"/>
  <c r="X18" i="3"/>
  <c r="X5" i="3"/>
  <c r="H16" i="3"/>
  <c r="H6" i="3"/>
  <c r="H3" i="3"/>
  <c r="AN9" i="3"/>
  <c r="X12" i="3"/>
  <c r="H9" i="3"/>
  <c r="AN18" i="3"/>
  <c r="X11" i="3"/>
  <c r="H12" i="3"/>
  <c r="X14" i="3"/>
  <c r="H18" i="3"/>
  <c r="X17" i="3"/>
  <c r="H5" i="3"/>
  <c r="X4" i="3"/>
  <c r="AN4" i="3"/>
  <c r="AN12" i="3"/>
  <c r="AN5" i="3"/>
  <c r="AN21" i="3"/>
  <c r="AN8" i="3"/>
  <c r="AN15" i="3"/>
  <c r="H21" i="3"/>
  <c r="AN11" i="3"/>
  <c r="X20" i="3"/>
  <c r="H8" i="3"/>
  <c r="X7" i="3"/>
  <c r="H11" i="3"/>
  <c r="AN17" i="3"/>
  <c r="H14" i="3"/>
  <c r="AN14" i="3"/>
  <c r="X10" i="3"/>
  <c r="X13" i="3"/>
  <c r="W9" i="2" l="1"/>
  <c r="W6" i="2"/>
  <c r="W19" i="2"/>
  <c r="W3" i="2"/>
  <c r="W16" i="2"/>
  <c r="W15" i="2"/>
  <c r="W13" i="2"/>
  <c r="W10" i="2"/>
  <c r="W7" i="2"/>
  <c r="W20" i="2"/>
  <c r="W4" i="2"/>
  <c r="W17" i="2"/>
  <c r="W14" i="2"/>
  <c r="W11" i="2"/>
  <c r="W8" i="2"/>
  <c r="W21" i="2"/>
  <c r="W5" i="2"/>
  <c r="W18" i="2"/>
  <c r="W12" i="2"/>
  <c r="G9" i="2"/>
  <c r="G6" i="2"/>
  <c r="G19" i="2"/>
  <c r="G3" i="2"/>
  <c r="G16" i="2"/>
  <c r="G13" i="2"/>
  <c r="G10" i="2"/>
  <c r="G7" i="2"/>
  <c r="G20" i="2"/>
  <c r="G4" i="2"/>
  <c r="G17" i="2"/>
  <c r="G14" i="2"/>
  <c r="G11" i="2"/>
  <c r="G8" i="2"/>
  <c r="G21" i="2"/>
  <c r="G5" i="2"/>
  <c r="G18" i="2"/>
  <c r="G15" i="2"/>
  <c r="G12" i="2"/>
  <c r="AM9" i="2"/>
  <c r="AM6" i="2"/>
  <c r="AM19" i="2"/>
  <c r="AM3" i="2"/>
  <c r="AM16" i="2"/>
  <c r="AM13" i="2"/>
  <c r="AM10" i="2"/>
  <c r="AM7" i="2"/>
  <c r="AM15" i="2"/>
  <c r="AM20" i="2"/>
  <c r="AM4" i="2"/>
  <c r="AM17" i="2"/>
  <c r="AM14" i="2"/>
  <c r="AM11" i="2"/>
  <c r="AM8" i="2"/>
  <c r="AM21" i="2"/>
  <c r="AM5" i="2"/>
  <c r="AM18" i="2"/>
  <c r="AM12" i="2"/>
  <c r="W2" i="2"/>
  <c r="G2" i="2"/>
  <c r="AM2" i="2"/>
</calcChain>
</file>

<file path=xl/sharedStrings.xml><?xml version="1.0" encoding="utf-8"?>
<sst xmlns="http://schemas.openxmlformats.org/spreadsheetml/2006/main" count="29" uniqueCount="28">
  <si>
    <t>**IMPORTANT NOTE**</t>
  </si>
  <si>
    <t>This document, the information contained herein and any derived information created therefrom are for the exclusive use of INSTITUTO13 INSTITUTO13 at INSTITUTO DE EMPRESA SLU.</t>
  </si>
  <si>
    <t>~~~~~~~~~~~~~~~~~~~~~~~~~~~~~~~~~~~~~~~~~~~~~~~~~~~~~~~~~~~~~~~~~~~~~~~~~~~~~~~~~~~~~~~~~~~~~~~~~~~~~~~~~~~~~~~~~~~~~~~~~~~~~~~~~~~~~~~~~~~~~~~~~~~~~~~~~~~~~~~~</t>
  </si>
  <si>
    <t>**REFERENCE**</t>
  </si>
  <si>
    <t xml:space="preserve">     Spreadsheets generated from the BI Excel export can be used as reference tables to fuel various models and other sheets on your desktop.</t>
  </si>
  <si>
    <t xml:space="preserve">     Automated model building or 'drag and drop' from the BI export sheet are not supported at this time, but using the BI export</t>
  </si>
  <si>
    <t xml:space="preserve">     as a reference table for use in other spreadsheets is a powerful and convenient tool to help achieve your goals.</t>
  </si>
  <si>
    <t xml:space="preserve">   --The BI Excel export sheet typically contains two data tabs (certain BI modules like those in the 'Monitor' section on BI will only result in a single 'Sheet 1' data tab):</t>
  </si>
  <si>
    <t xml:space="preserve">     1) 'BIData':  This is the fully curated grid that is meant to be a clean, simple, synchronized match to what is seen on the BI dashboard. </t>
  </si>
  <si>
    <t xml:space="preserve">          The grid on the 'BIData' tab can be used as a reference table for use in your models and other downstream spreadsheets.</t>
  </si>
  <si>
    <t xml:space="preserve">     2) 'ReferenceData':  This is the tab where all the raw data is housed and data preparation is done.  There are typically 2 separate grids here:</t>
  </si>
  <si>
    <t xml:space="preserve">          a top curated grid that includes error handling, expressions, etc., and a bottom raw grid that includes any/all live API information for this export. </t>
  </si>
  <si>
    <t xml:space="preserve">          The bottom grid on the ReferenceData tab is where actual API (BDP/BDH) expressions are constructed, so refer to this section if you</t>
  </si>
  <si>
    <t xml:space="preserve">          are interested in seeing/using the underlying API details.</t>
  </si>
  <si>
    <t xml:space="preserve">          Note: In some cases the bottom grid will not exist (in the event that none of the data selected is coming from live API links).</t>
  </si>
  <si>
    <t xml:space="preserve">   --In any grid on either tab, there are common columns:</t>
  </si>
  <si>
    <t xml:space="preserve">     1) Description:  The row label that matches the row label you'd find on BI</t>
  </si>
  <si>
    <t xml:space="preserve">     2) Ticker:  The company/index ticker corresponding to that row (this is the ticker used in the </t>
  </si>
  <si>
    <t xml:space="preserve">          BDP/BDH formula for that row, if applicable)</t>
  </si>
  <si>
    <t xml:space="preserve">     3) Field ID:  The calcrout ID used to structure the BDP/BDH formula for that row (where applicable).</t>
  </si>
  <si>
    <t xml:space="preserve">     4) Field Mnemonic:  The calcrout mnemonic corresponding to the field ID used to structure the BDP/BDH formula for that row (where applicable).</t>
  </si>
  <si>
    <t xml:space="preserve">     5) Data State:  The state of the data within that particular row, including 'Dynamic', 'Static', 'Sum', 'Average', 'Median' or 'Heading'.  If 'Dynamic'</t>
  </si>
  <si>
    <t xml:space="preserve">          then new data will be expected to come to the sheet when it becomes available in the database with no need for another export.</t>
  </si>
  <si>
    <t xml:space="preserve">          If 'Static' then there are no live links in this row and new data will only be procured by running and exporting from BI again.</t>
  </si>
  <si>
    <t xml:space="preserve">          If it's 'Sum', 'Average', 'Median' or 'Expression', then new data may come to the sheet for some expression components, but</t>
  </si>
  <si>
    <t xml:space="preserve">          to ensure the latest data is present in the sheet, BI should be run and exported again.</t>
  </si>
  <si>
    <t>**HELP**</t>
  </si>
  <si>
    <t xml:space="preserve">     If you experience any issues with the BI Excel export process or results, run the BI&lt;GO&gt; function on your Bloomberg terminal, and then hit the &lt;HELP&gt; key twice.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</si>
</sst>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ccyreader">
      <tp t="e">
        <v>#N/A</v>
        <stp/>
        <stp>#track</stp>
        <stp>DBG</stp>
        <stp>BIHITX</stp>
        <stp>1.0</stp>
        <stp>RepeatHit</stp>
        <tr r="A32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2"/>
  <sheetViews>
    <sheetView workbookViewId="0">
      <selection activeCell="A29" sqref="A29"/>
    </sheetView>
  </sheetViews>
  <sheetFormatPr defaultRowHeight="15" x14ac:dyDescent="0.25"/>
  <cols>
    <col min="1" max="1" width="56.28515625" customWidth="1"/>
    <col min="2" max="2" width="15.85546875" customWidth="1"/>
    <col min="3" max="41" width="9.140625" bestFit="1" customWidth="1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t="str">
        <f>IFERROR(IF(0=LEN(ReferenceData!$A$2),"",ReferenceData!$A$2),"")</f>
        <v>Description</v>
      </c>
      <c r="B2" t="str">
        <f>IFERROR(IF(0=LEN(ReferenceData!$B$2),"",ReferenceData!$B$2),"")</f>
        <v>Ticker</v>
      </c>
      <c r="C2" t="str">
        <f>IFERROR(IF(0=LEN(ReferenceData!$C$2),"",ReferenceData!$C$2),"")</f>
        <v>Field ID</v>
      </c>
      <c r="D2" t="str">
        <f>IFERROR(IF(0=LEN(ReferenceData!$D$2),"",ReferenceData!$D$2),"")</f>
        <v>Field Mnemonic</v>
      </c>
      <c r="E2" t="str">
        <f>IFERROR(IF(0=LEN(ReferenceData!$E$2),"",ReferenceData!$E$2),"")</f>
        <v>Data State</v>
      </c>
      <c r="F2" t="str">
        <f>IFERROR(IF(0=LEN(ReferenceData!$AO$2),"",ReferenceData!$AO$2),"")</f>
        <v>2017 Q1</v>
      </c>
      <c r="G2" t="str">
        <f>IFERROR(IF(0=LEN(ReferenceData!$AN$2),"",ReferenceData!$AN$2),"")</f>
        <v>2017 Q2</v>
      </c>
      <c r="H2" t="str">
        <f>IFERROR(IF(0=LEN(ReferenceData!$AM$2),"",ReferenceData!$AM$2),"")</f>
        <v>2017 Q3</v>
      </c>
      <c r="I2" t="str">
        <f>IFERROR(IF(0=LEN(ReferenceData!$AL$2),"",ReferenceData!$AL$2),"")</f>
        <v>2017 Q4</v>
      </c>
      <c r="J2" t="str">
        <f>IFERROR(IF(0=LEN(ReferenceData!$AK$2),"",ReferenceData!$AK$2),"")</f>
        <v>2018 Q1</v>
      </c>
      <c r="K2" t="str">
        <f>IFERROR(IF(0=LEN(ReferenceData!$AJ$2),"",ReferenceData!$AJ$2),"")</f>
        <v>2018 Q2</v>
      </c>
      <c r="L2" t="str">
        <f>IFERROR(IF(0=LEN(ReferenceData!$AI$2),"",ReferenceData!$AI$2),"")</f>
        <v>2018 Q3</v>
      </c>
      <c r="M2" t="str">
        <f>IFERROR(IF(0=LEN(ReferenceData!$AH$2),"",ReferenceData!$AH$2),"")</f>
        <v>2018 Q4</v>
      </c>
      <c r="N2" t="str">
        <f>IFERROR(IF(0=LEN(ReferenceData!$AG$2),"",ReferenceData!$AG$2),"")</f>
        <v>2019 Q1</v>
      </c>
      <c r="O2" t="str">
        <f>IFERROR(IF(0=LEN(ReferenceData!$AF$2),"",ReferenceData!$AF$2),"")</f>
        <v>2019 Q2</v>
      </c>
      <c r="P2" t="str">
        <f>IFERROR(IF(0=LEN(ReferenceData!$AE$2),"",ReferenceData!$AE$2),"")</f>
        <v>2019 Q3</v>
      </c>
      <c r="Q2" t="str">
        <f>IFERROR(IF(0=LEN(ReferenceData!$AD$2),"",ReferenceData!$AD$2),"")</f>
        <v>2019 Q4</v>
      </c>
      <c r="R2" t="str">
        <f>IFERROR(IF(0=LEN(ReferenceData!$AC$2),"",ReferenceData!$AC$2),"")</f>
        <v>2020 Q1</v>
      </c>
      <c r="S2" t="str">
        <f>IFERROR(IF(0=LEN(ReferenceData!$AB$2),"",ReferenceData!$AB$2),"")</f>
        <v>2020 Q2</v>
      </c>
      <c r="T2" t="str">
        <f>IFERROR(IF(0=LEN(ReferenceData!$AA$2),"",ReferenceData!$AA$2),"")</f>
        <v>2020 Q3</v>
      </c>
      <c r="U2" t="str">
        <f>IFERROR(IF(0=LEN(ReferenceData!$Z$2),"",ReferenceData!$Z$2),"")</f>
        <v>2020 Q4</v>
      </c>
      <c r="V2" t="str">
        <f>IFERROR(IF(0=LEN(ReferenceData!$Y$2),"",ReferenceData!$Y$2),"")</f>
        <v>2021 Q1</v>
      </c>
      <c r="W2" t="str">
        <f>IFERROR(IF(0=LEN(ReferenceData!$X$2),"",ReferenceData!$X$2),"")</f>
        <v>2021 Q2</v>
      </c>
      <c r="X2" t="str">
        <f>IFERROR(IF(0=LEN(ReferenceData!$W$2),"",ReferenceData!$W$2),"")</f>
        <v>2021 Q3</v>
      </c>
      <c r="Y2" t="str">
        <f>IFERROR(IF(0=LEN(ReferenceData!$V$2),"",ReferenceData!$V$2),"")</f>
        <v>2021 Q4</v>
      </c>
      <c r="Z2" t="str">
        <f>IFERROR(IF(0=LEN(ReferenceData!$U$2),"",ReferenceData!$U$2),"")</f>
        <v>2022 Q1</v>
      </c>
      <c r="AA2" t="str">
        <f>IFERROR(IF(0=LEN(ReferenceData!$T$2),"",ReferenceData!$T$2),"")</f>
        <v>2022 Q2</v>
      </c>
      <c r="AB2" t="str">
        <f>IFERROR(IF(0=LEN(ReferenceData!$S$2),"",ReferenceData!$S$2),"")</f>
        <v>2022 Q3</v>
      </c>
      <c r="AC2" t="str">
        <f>IFERROR(IF(0=LEN(ReferenceData!$R$2),"",ReferenceData!$R$2),"")</f>
        <v>2022 Q4</v>
      </c>
      <c r="AD2" t="str">
        <f>IFERROR(IF(0=LEN(ReferenceData!$Q$2),"",ReferenceData!$Q$2),"")</f>
        <v>2023 Q1</v>
      </c>
      <c r="AE2" t="str">
        <f>IFERROR(IF(0=LEN(ReferenceData!$P$2),"",ReferenceData!$P$2),"")</f>
        <v>2023 Q2</v>
      </c>
      <c r="AF2" t="str">
        <f>IFERROR(IF(0=LEN(ReferenceData!$O$2),"",ReferenceData!$O$2),"")</f>
        <v>2023 Q3</v>
      </c>
      <c r="AG2" t="str">
        <f>IFERROR(IF(0=LEN(ReferenceData!$N$2),"",ReferenceData!$N$2),"")</f>
        <v>2023 Q4</v>
      </c>
      <c r="AH2" t="str">
        <f>IFERROR(IF(0=LEN(ReferenceData!$M$2),"",ReferenceData!$M$2),"")</f>
        <v>2024 Q1</v>
      </c>
      <c r="AI2" t="str">
        <f>IFERROR(IF(0=LEN(ReferenceData!$L$2),"",ReferenceData!$L$2),"")</f>
        <v>2024 Q2</v>
      </c>
      <c r="AJ2" t="str">
        <f>IFERROR(IF(0=LEN(ReferenceData!$K$2),"",ReferenceData!$K$2),"")</f>
        <v>2024 Q3</v>
      </c>
      <c r="AK2" t="str">
        <f>IFERROR(IF(0=LEN(ReferenceData!$J$2),"",ReferenceData!$J$2),"")</f>
        <v>2024 Q4</v>
      </c>
      <c r="AL2" t="str">
        <f>IFERROR(IF(0=LEN(ReferenceData!$I$2),"",ReferenceData!$I$2),"")</f>
        <v>2025 Q1</v>
      </c>
      <c r="AM2" t="str">
        <f>IFERROR(IF(0=LEN(ReferenceData!$H$2),"",ReferenceData!$H$2),"")</f>
        <v>2025 Q2</v>
      </c>
      <c r="AN2" t="str">
        <f>IFERROR(IF(0=LEN(ReferenceData!$G$2),"",ReferenceData!$G$2),"")</f>
        <v>2025 Q3</v>
      </c>
      <c r="AO2" t="str">
        <f>IFERROR(IF(0=LEN(ReferenceData!$F$2),"",ReferenceData!$F$2),"")</f>
        <v>2025 Q4</v>
      </c>
    </row>
    <row r="3" spans="1:41" x14ac:dyDescent="0.25">
      <c r="A3" t="str">
        <f>IFERROR(IF(0=LEN(ReferenceData!$A$3),"",ReferenceData!$A$3),"")</f>
        <v>SPX Index Buyback Program Announcements (B$)</v>
      </c>
      <c r="B3" t="str">
        <f>IFERROR(IF(0=LEN(ReferenceData!$B$3),"",ReferenceData!$B$3),"")</f>
        <v/>
      </c>
      <c r="C3" t="str">
        <f>IFERROR(IF(0=LEN(ReferenceData!$C$3),"",ReferenceData!$C$3),"")</f>
        <v/>
      </c>
      <c r="D3" t="str">
        <f>IFERROR(IF(0=LEN(ReferenceData!$D$3),"",ReferenceData!$D$3),"")</f>
        <v/>
      </c>
      <c r="E3" t="str">
        <f>IFERROR(IF(0=LEN(ReferenceData!$E$3),"",ReferenceData!$E$3),"")</f>
        <v>Static</v>
      </c>
      <c r="F3">
        <f ca="1">IFERROR(IF(0=LEN(ReferenceData!$AO$3),"",ReferenceData!$AO$3),"")</f>
        <v>82.714318599999999</v>
      </c>
      <c r="G3">
        <f ca="1">IFERROR(IF(0=LEN(ReferenceData!$AN$3),"",ReferenceData!$AN$3),"")</f>
        <v>207.36027989999999</v>
      </c>
      <c r="H3">
        <f ca="1">IFERROR(IF(0=LEN(ReferenceData!$AM$3),"",ReferenceData!$AM$3),"")</f>
        <v>62.861165700000001</v>
      </c>
      <c r="I3">
        <f ca="1">IFERROR(IF(0=LEN(ReferenceData!$AL$3),"",ReferenceData!$AL$3),"")</f>
        <v>165.02029210000001</v>
      </c>
      <c r="J3">
        <f ca="1">IFERROR(IF(0=LEN(ReferenceData!$AK$3),"",ReferenceData!$AK$3),"")</f>
        <v>187.6878169</v>
      </c>
      <c r="K3">
        <f ca="1">IFERROR(IF(0=LEN(ReferenceData!$AJ$3),"",ReferenceData!$AJ$3),"")</f>
        <v>417.68611920000001</v>
      </c>
      <c r="L3">
        <f ca="1">IFERROR(IF(0=LEN(ReferenceData!$AI$3),"",ReferenceData!$AI$3),"")</f>
        <v>144.2893</v>
      </c>
      <c r="M3">
        <f ca="1">IFERROR(IF(0=LEN(ReferenceData!$AH$3),"",ReferenceData!$AH$3),"")</f>
        <v>209.92379800000001</v>
      </c>
      <c r="N3">
        <f ca="1">IFERROR(IF(0=LEN(ReferenceData!$AG$3),"",ReferenceData!$AG$3),"")</f>
        <v>214.4446111</v>
      </c>
      <c r="O3">
        <f ca="1">IFERROR(IF(0=LEN(ReferenceData!$AF$3),"",ReferenceData!$AF$3),"")</f>
        <v>257.74179240000001</v>
      </c>
      <c r="P3">
        <f ca="1">IFERROR(IF(0=LEN(ReferenceData!$AE$3),"",ReferenceData!$AE$3),"")</f>
        <v>143.53530749999999</v>
      </c>
      <c r="Q3">
        <f ca="1">IFERROR(IF(0=LEN(ReferenceData!$AD$3),"",ReferenceData!$AD$3),"")</f>
        <v>114.1613952</v>
      </c>
      <c r="R3">
        <f ca="1">IFERROR(IF(0=LEN(ReferenceData!$AC$3),"",ReferenceData!$AC$3),"")</f>
        <v>121.88619850000001</v>
      </c>
      <c r="S3">
        <f ca="1">IFERROR(IF(0=LEN(ReferenceData!$AB$3),"",ReferenceData!$AB$3),"")</f>
        <v>59.731739009999998</v>
      </c>
      <c r="T3">
        <f ca="1">IFERROR(IF(0=LEN(ReferenceData!$AA$3),"",ReferenceData!$AA$3),"")</f>
        <v>61.605488360000003</v>
      </c>
      <c r="U3">
        <f ca="1">IFERROR(IF(0=LEN(ReferenceData!$Z$3),"",ReferenceData!$Z$3),"")</f>
        <v>159.7871323</v>
      </c>
      <c r="V3">
        <f ca="1">IFERROR(IF(0=LEN(ReferenceData!$Y$3),"",ReferenceData!$Y$3),"")</f>
        <v>246.14246170000001</v>
      </c>
      <c r="W3">
        <f ca="1">IFERROR(IF(0=LEN(ReferenceData!$X$3),"",ReferenceData!$X$3),"")</f>
        <v>367.30354360000001</v>
      </c>
      <c r="X3">
        <f ca="1">IFERROR(IF(0=LEN(ReferenceData!$W$3),"",ReferenceData!$W$3),"")</f>
        <v>186.63898570000001</v>
      </c>
      <c r="Y3">
        <f ca="1">IFERROR(IF(0=LEN(ReferenceData!$V$3),"",ReferenceData!$V$3),"")</f>
        <v>280.48713670000001</v>
      </c>
      <c r="Z3">
        <f ca="1">IFERROR(IF(0=LEN(ReferenceData!$U$3),"",ReferenceData!$U$3),"")</f>
        <v>245.464912</v>
      </c>
      <c r="AA3">
        <f ca="1">IFERROR(IF(0=LEN(ReferenceData!$T$3),"",ReferenceData!$T$3),"")</f>
        <v>398.74144310000003</v>
      </c>
      <c r="AB3">
        <f ca="1">IFERROR(IF(0=LEN(ReferenceData!$S$3),"",ReferenceData!$S$3),"")</f>
        <v>176.00299380000001</v>
      </c>
      <c r="AC3">
        <f ca="1">IFERROR(IF(0=LEN(ReferenceData!$R$3),"",ReferenceData!$R$3),"")</f>
        <v>240.6245811</v>
      </c>
      <c r="AD3">
        <f ca="1">IFERROR(IF(0=LEN(ReferenceData!$Q$3),"",ReferenceData!$Q$3),"")</f>
        <v>315.48765680000002</v>
      </c>
      <c r="AE3">
        <f ca="1">IFERROR(IF(0=LEN(ReferenceData!$P$3),"",ReferenceData!$P$3),"")</f>
        <v>252.09483610000001</v>
      </c>
      <c r="AF3">
        <f ca="1">IFERROR(IF(0=LEN(ReferenceData!$O$3),"",ReferenceData!$O$3),"")</f>
        <v>148.06819999999999</v>
      </c>
      <c r="AG3">
        <f ca="1">IFERROR(IF(0=LEN(ReferenceData!$N$3),"",ReferenceData!$N$3),"")</f>
        <v>197.44255799999999</v>
      </c>
      <c r="AH3">
        <f ca="1">IFERROR(IF(0=LEN(ReferenceData!$M$3),"",ReferenceData!$M$3),"")</f>
        <v>261.91252600000001</v>
      </c>
      <c r="AI3">
        <f ca="1">IFERROR(IF(0=LEN(ReferenceData!$L$3),"",ReferenceData!$L$3),"")</f>
        <v>352.5950818</v>
      </c>
      <c r="AJ3">
        <f ca="1">IFERROR(IF(0=LEN(ReferenceData!$K$3),"",ReferenceData!$K$3),"")</f>
        <v>240.07159999999999</v>
      </c>
      <c r="AK3">
        <f ca="1">IFERROR(IF(0=LEN(ReferenceData!$J$3),"",ReferenceData!$J$3),"")</f>
        <v>272.7271015</v>
      </c>
      <c r="AL3">
        <f ca="1">IFERROR(IF(0=LEN(ReferenceData!$I$3),"",ReferenceData!$I$3),"")</f>
        <v>302.50473</v>
      </c>
      <c r="AM3">
        <f ca="1">IFERROR(IF(0=LEN(ReferenceData!$H$3),"",ReferenceData!$H$3),"")</f>
        <v>402.81508330000003</v>
      </c>
      <c r="AN3">
        <f ca="1">IFERROR(IF(0=LEN(ReferenceData!$G$3),"",ReferenceData!$G$3),"")</f>
        <v>363.3532998</v>
      </c>
      <c r="AO3">
        <f ca="1">IFERROR(IF(0=LEN(ReferenceData!$F$3),"",ReferenceData!$F$3),"")</f>
        <v>159.9674</v>
      </c>
    </row>
    <row r="4" spans="1:41" x14ac:dyDescent="0.25">
      <c r="A4" t="str">
        <f>IFERROR(IF(0=LEN(ReferenceData!$A$4),"",ReferenceData!$A$4),"")</f>
        <v xml:space="preserve">    Latest Update: 6/26</v>
      </c>
      <c r="B4" t="str">
        <f>IFERROR(IF(0=LEN(ReferenceData!$B$4),"",ReferenceData!$B$4),"")</f>
        <v/>
      </c>
      <c r="C4" t="str">
        <f>IFERROR(IF(0=LEN(ReferenceData!$C$4),"",ReferenceData!$C$4),"")</f>
        <v/>
      </c>
      <c r="D4" t="str">
        <f>IFERROR(IF(0=LEN(ReferenceData!$D$4),"",ReferenceData!$D$4),"")</f>
        <v/>
      </c>
      <c r="E4" t="str">
        <f>IFERROR(IF(0=LEN(ReferenceData!$E$4),"",ReferenceData!$E$4),"")</f>
        <v>Static</v>
      </c>
      <c r="F4" t="str">
        <f ca="1">IFERROR(IF(0=LEN(ReferenceData!$AO$4),"",ReferenceData!$AO$4),"")</f>
        <v/>
      </c>
      <c r="G4" t="str">
        <f ca="1">IFERROR(IF(0=LEN(ReferenceData!$AN$4),"",ReferenceData!$AN$4),"")</f>
        <v/>
      </c>
      <c r="H4" t="str">
        <f ca="1">IFERROR(IF(0=LEN(ReferenceData!$AM$4),"",ReferenceData!$AM$4),"")</f>
        <v/>
      </c>
      <c r="I4" t="str">
        <f ca="1">IFERROR(IF(0=LEN(ReferenceData!$AL$4),"",ReferenceData!$AL$4),"")</f>
        <v/>
      </c>
      <c r="J4" t="str">
        <f ca="1">IFERROR(IF(0=LEN(ReferenceData!$AK$4),"",ReferenceData!$AK$4),"")</f>
        <v/>
      </c>
      <c r="K4" t="str">
        <f ca="1">IFERROR(IF(0=LEN(ReferenceData!$AJ$4),"",ReferenceData!$AJ$4),"")</f>
        <v/>
      </c>
      <c r="L4" t="str">
        <f ca="1">IFERROR(IF(0=LEN(ReferenceData!$AI$4),"",ReferenceData!$AI$4),"")</f>
        <v/>
      </c>
      <c r="M4" t="str">
        <f ca="1">IFERROR(IF(0=LEN(ReferenceData!$AH$4),"",ReferenceData!$AH$4),"")</f>
        <v/>
      </c>
      <c r="N4" t="str">
        <f ca="1">IFERROR(IF(0=LEN(ReferenceData!$AG$4),"",ReferenceData!$AG$4),"")</f>
        <v/>
      </c>
      <c r="O4" t="str">
        <f ca="1">IFERROR(IF(0=LEN(ReferenceData!$AF$4),"",ReferenceData!$AF$4),"")</f>
        <v/>
      </c>
      <c r="P4" t="str">
        <f ca="1">IFERROR(IF(0=LEN(ReferenceData!$AE$4),"",ReferenceData!$AE$4),"")</f>
        <v/>
      </c>
      <c r="Q4" t="str">
        <f ca="1">IFERROR(IF(0=LEN(ReferenceData!$AD$4),"",ReferenceData!$AD$4),"")</f>
        <v/>
      </c>
      <c r="R4" t="str">
        <f ca="1">IFERROR(IF(0=LEN(ReferenceData!$AC$4),"",ReferenceData!$AC$4),"")</f>
        <v/>
      </c>
      <c r="S4" t="str">
        <f ca="1">IFERROR(IF(0=LEN(ReferenceData!$AB$4),"",ReferenceData!$AB$4),"")</f>
        <v/>
      </c>
      <c r="T4" t="str">
        <f ca="1">IFERROR(IF(0=LEN(ReferenceData!$AA$4),"",ReferenceData!$AA$4),"")</f>
        <v/>
      </c>
      <c r="U4" t="str">
        <f ca="1">IFERROR(IF(0=LEN(ReferenceData!$Z$4),"",ReferenceData!$Z$4),"")</f>
        <v/>
      </c>
      <c r="V4" t="str">
        <f ca="1">IFERROR(IF(0=LEN(ReferenceData!$Y$4),"",ReferenceData!$Y$4),"")</f>
        <v/>
      </c>
      <c r="W4" t="str">
        <f ca="1">IFERROR(IF(0=LEN(ReferenceData!$X$4),"",ReferenceData!$X$4),"")</f>
        <v/>
      </c>
      <c r="X4" t="str">
        <f ca="1">IFERROR(IF(0=LEN(ReferenceData!$W$4),"",ReferenceData!$W$4),"")</f>
        <v/>
      </c>
      <c r="Y4" t="str">
        <f ca="1">IFERROR(IF(0=LEN(ReferenceData!$V$4),"",ReferenceData!$V$4),"")</f>
        <v/>
      </c>
      <c r="Z4" t="str">
        <f ca="1">IFERROR(IF(0=LEN(ReferenceData!$U$4),"",ReferenceData!$U$4),"")</f>
        <v/>
      </c>
      <c r="AA4" t="str">
        <f ca="1">IFERROR(IF(0=LEN(ReferenceData!$T$4),"",ReferenceData!$T$4),"")</f>
        <v/>
      </c>
      <c r="AB4" t="str">
        <f ca="1">IFERROR(IF(0=LEN(ReferenceData!$S$4),"",ReferenceData!$S$4),"")</f>
        <v/>
      </c>
      <c r="AC4" t="str">
        <f ca="1">IFERROR(IF(0=LEN(ReferenceData!$R$4),"",ReferenceData!$R$4),"")</f>
        <v/>
      </c>
      <c r="AD4" t="str">
        <f ca="1">IFERROR(IF(0=LEN(ReferenceData!$Q$4),"",ReferenceData!$Q$4),"")</f>
        <v/>
      </c>
      <c r="AE4" t="str">
        <f ca="1">IFERROR(IF(0=LEN(ReferenceData!$P$4),"",ReferenceData!$P$4),"")</f>
        <v/>
      </c>
      <c r="AF4" t="str">
        <f ca="1">IFERROR(IF(0=LEN(ReferenceData!$O$4),"",ReferenceData!$O$4),"")</f>
        <v/>
      </c>
      <c r="AG4" t="str">
        <f ca="1">IFERROR(IF(0=LEN(ReferenceData!$N$4),"",ReferenceData!$N$4),"")</f>
        <v/>
      </c>
      <c r="AH4" t="str">
        <f ca="1">IFERROR(IF(0=LEN(ReferenceData!$M$4),"",ReferenceData!$M$4),"")</f>
        <v/>
      </c>
      <c r="AI4" t="str">
        <f ca="1">IFERROR(IF(0=LEN(ReferenceData!$L$4),"",ReferenceData!$L$4),"")</f>
        <v/>
      </c>
      <c r="AJ4" t="str">
        <f ca="1">IFERROR(IF(0=LEN(ReferenceData!$K$4),"",ReferenceData!$K$4),"")</f>
        <v/>
      </c>
      <c r="AK4" t="str">
        <f ca="1">IFERROR(IF(0=LEN(ReferenceData!$J$4),"",ReferenceData!$J$4),"")</f>
        <v/>
      </c>
      <c r="AL4" t="str">
        <f ca="1">IFERROR(IF(0=LEN(ReferenceData!$I$4),"",ReferenceData!$I$4),"")</f>
        <v/>
      </c>
      <c r="AM4" t="str">
        <f ca="1">IFERROR(IF(0=LEN(ReferenceData!$H$4),"",ReferenceData!$H$4),"")</f>
        <v/>
      </c>
      <c r="AN4" t="str">
        <f ca="1">IFERROR(IF(0=LEN(ReferenceData!$G$4),"",ReferenceData!$G$4),"")</f>
        <v/>
      </c>
      <c r="AO4" t="str">
        <f ca="1">IFERROR(IF(0=LEN(ReferenceData!$F$4),"",ReferenceData!$F$4),"")</f>
        <v/>
      </c>
    </row>
    <row r="5" spans="1:41" x14ac:dyDescent="0.25">
      <c r="A5" t="str">
        <f>IFERROR(IF(0=LEN(ReferenceData!$A$5),"",ReferenceData!$A$5),"")</f>
        <v xml:space="preserve">    Communication Services</v>
      </c>
      <c r="B5" t="str">
        <f>IFERROR(IF(0=LEN(ReferenceData!$B$5),"",ReferenceData!$B$5),"")</f>
        <v/>
      </c>
      <c r="C5" t="str">
        <f>IFERROR(IF(0=LEN(ReferenceData!$C$5),"",ReferenceData!$C$5),"")</f>
        <v/>
      </c>
      <c r="D5" t="str">
        <f>IFERROR(IF(0=LEN(ReferenceData!$D$5),"",ReferenceData!$D$5),"")</f>
        <v/>
      </c>
      <c r="E5" t="str">
        <f>IFERROR(IF(0=LEN(ReferenceData!$E$5),"",ReferenceData!$E$5),"")</f>
        <v>Static</v>
      </c>
      <c r="F5">
        <f ca="1">IFERROR(IF(0=LEN(ReferenceData!$AO$5),"",ReferenceData!$AO$5),"")</f>
        <v>6.3090012419999999</v>
      </c>
      <c r="G5">
        <f ca="1">IFERROR(IF(0=LEN(ReferenceData!$AN$5),"",ReferenceData!$AN$5),"")</f>
        <v>1.20000032</v>
      </c>
      <c r="H5" t="str">
        <f ca="1">IFERROR(IF(0=LEN(ReferenceData!$AM$5),"",ReferenceData!$AM$5),"")</f>
        <v/>
      </c>
      <c r="I5" t="str">
        <f ca="1">IFERROR(IF(0=LEN(ReferenceData!$AL$5),"",ReferenceData!$AL$5),"")</f>
        <v/>
      </c>
      <c r="J5">
        <f ca="1">IFERROR(IF(0=LEN(ReferenceData!$AK$5),"",ReferenceData!$AK$5),"")</f>
        <v>9.1398702160000003</v>
      </c>
      <c r="K5">
        <f ca="1">IFERROR(IF(0=LEN(ReferenceData!$AJ$5),"",ReferenceData!$AJ$5),"")</f>
        <v>11.399996059999999</v>
      </c>
      <c r="L5" t="str">
        <f ca="1">IFERROR(IF(0=LEN(ReferenceData!$AI$5),"",ReferenceData!$AI$5),"")</f>
        <v/>
      </c>
      <c r="M5">
        <f ca="1">IFERROR(IF(0=LEN(ReferenceData!$AH$5),"",ReferenceData!$AH$5),"")</f>
        <v>8.9999954239999997</v>
      </c>
      <c r="N5">
        <f ca="1">IFERROR(IF(0=LEN(ReferenceData!$AG$5),"",ReferenceData!$AG$5),"")</f>
        <v>2.7499995519999998</v>
      </c>
      <c r="O5" t="str">
        <f ca="1">IFERROR(IF(0=LEN(ReferenceData!$AF$5),"",ReferenceData!$AF$5),"")</f>
        <v/>
      </c>
      <c r="P5">
        <f ca="1">IFERROR(IF(0=LEN(ReferenceData!$AE$5),"",ReferenceData!$AE$5),"")</f>
        <v>2.5</v>
      </c>
      <c r="Q5">
        <f ca="1">IFERROR(IF(0=LEN(ReferenceData!$AD$5),"",ReferenceData!$AD$5),"")</f>
        <v>2.1000003199999999</v>
      </c>
      <c r="R5">
        <f ca="1">IFERROR(IF(0=LEN(ReferenceData!$AC$5),"",ReferenceData!$AC$5),"")</f>
        <v>15.94400224</v>
      </c>
      <c r="S5" t="str">
        <f ca="1">IFERROR(IF(0=LEN(ReferenceData!$AB$5),"",ReferenceData!$AB$5),"")</f>
        <v/>
      </c>
      <c r="T5">
        <f ca="1">IFERROR(IF(0=LEN(ReferenceData!$AA$5),"",ReferenceData!$AA$5),"")</f>
        <v>28</v>
      </c>
      <c r="U5">
        <f ca="1">IFERROR(IF(0=LEN(ReferenceData!$Z$5),"",ReferenceData!$Z$5),"")</f>
        <v>2.600000128</v>
      </c>
      <c r="V5">
        <f ca="1">IFERROR(IF(0=LEN(ReferenceData!$Y$5),"",ReferenceData!$Y$5),"")</f>
        <v>29</v>
      </c>
      <c r="W5">
        <f ca="1">IFERROR(IF(0=LEN(ReferenceData!$X$5),"",ReferenceData!$X$5),"")</f>
        <v>67.000002080000002</v>
      </c>
      <c r="X5">
        <f ca="1">IFERROR(IF(0=LEN(ReferenceData!$W$5),"",ReferenceData!$W$5),"")</f>
        <v>2.0000001599999999</v>
      </c>
      <c r="Y5">
        <f ca="1">IFERROR(IF(0=LEN(ReferenceData!$V$5),"",ReferenceData!$V$5),"")</f>
        <v>51.367839600000003</v>
      </c>
      <c r="Z5">
        <f ca="1">IFERROR(IF(0=LEN(ReferenceData!$U$5),"",ReferenceData!$U$5),"")</f>
        <v>4.062578587</v>
      </c>
      <c r="AA5">
        <f ca="1">IFERROR(IF(0=LEN(ReferenceData!$T$5),"",ReferenceData!$T$5),"")</f>
        <v>70.012500000000003</v>
      </c>
      <c r="AB5">
        <f ca="1">IFERROR(IF(0=LEN(ReferenceData!$S$5),"",ReferenceData!$S$5),"")</f>
        <v>36.60000307</v>
      </c>
      <c r="AC5">
        <f ca="1">IFERROR(IF(0=LEN(ReferenceData!$R$5),"",ReferenceData!$R$5),"")</f>
        <v>5.5</v>
      </c>
      <c r="AD5">
        <f ca="1">IFERROR(IF(0=LEN(ReferenceData!$Q$5),"",ReferenceData!$Q$5),"")</f>
        <v>43.349999939999996</v>
      </c>
      <c r="AE5">
        <f ca="1">IFERROR(IF(0=LEN(ReferenceData!$P$5),"",ReferenceData!$P$5),"")</f>
        <v>71</v>
      </c>
      <c r="AF5">
        <f ca="1">IFERROR(IF(0=LEN(ReferenceData!$O$5),"",ReferenceData!$O$5),"")</f>
        <v>19</v>
      </c>
      <c r="AG5">
        <f ca="1">IFERROR(IF(0=LEN(ReferenceData!$N$5),"",ReferenceData!$N$5),"")</f>
        <v>10</v>
      </c>
      <c r="AH5">
        <f ca="1">IFERROR(IF(0=LEN(ReferenceData!$M$5),"",ReferenceData!$M$5),"")</f>
        <v>105.976</v>
      </c>
      <c r="AI5">
        <f ca="1">IFERROR(IF(0=LEN(ReferenceData!$L$5),"",ReferenceData!$L$5),"")</f>
        <v>75</v>
      </c>
      <c r="AJ5" t="str">
        <f ca="1">IFERROR(IF(0=LEN(ReferenceData!$K$5),"",ReferenceData!$K$5),"")</f>
        <v/>
      </c>
      <c r="AK5">
        <f ca="1">IFERROR(IF(0=LEN(ReferenceData!$J$5),"",ReferenceData!$J$5),"")</f>
        <v>15.5</v>
      </c>
      <c r="AL5">
        <f ca="1">IFERROR(IF(0=LEN(ReferenceData!$I$5),"",ReferenceData!$I$5),"")</f>
        <v>41.155000000000001</v>
      </c>
      <c r="AM5">
        <f ca="1">IFERROR(IF(0=LEN(ReferenceData!$H$5),"",ReferenceData!$H$5),"")</f>
        <v>70</v>
      </c>
      <c r="AN5">
        <f ca="1">IFERROR(IF(0=LEN(ReferenceData!$G$5),"",ReferenceData!$G$5),"")</f>
        <v>6.8</v>
      </c>
      <c r="AO5">
        <f ca="1">IFERROR(IF(0=LEN(ReferenceData!$F$5),"",ReferenceData!$F$5),"")</f>
        <v>2</v>
      </c>
    </row>
    <row r="6" spans="1:41" x14ac:dyDescent="0.25">
      <c r="A6" t="str">
        <f>IFERROR(IF(0=LEN(ReferenceData!$A$6),"",ReferenceData!$A$6),"")</f>
        <v xml:space="preserve">    Consumer Discretionary</v>
      </c>
      <c r="B6" t="str">
        <f>IFERROR(IF(0=LEN(ReferenceData!$B$6),"",ReferenceData!$B$6),"")</f>
        <v/>
      </c>
      <c r="C6" t="str">
        <f>IFERROR(IF(0=LEN(ReferenceData!$C$6),"",ReferenceData!$C$6),"")</f>
        <v/>
      </c>
      <c r="D6" t="str">
        <f>IFERROR(IF(0=LEN(ReferenceData!$D$6),"",ReferenceData!$D$6),"")</f>
        <v/>
      </c>
      <c r="E6" t="str">
        <f>IFERROR(IF(0=LEN(ReferenceData!$E$6),"",ReferenceData!$E$6),"")</f>
        <v>Static</v>
      </c>
      <c r="F6">
        <f ca="1">IFERROR(IF(0=LEN(ReferenceData!$AO$6),"",ReferenceData!$AO$6),"")</f>
        <v>39.579596629999998</v>
      </c>
      <c r="G6">
        <f ca="1">IFERROR(IF(0=LEN(ReferenceData!$AN$6),"",ReferenceData!$AN$6),"")</f>
        <v>3.2000001299999998</v>
      </c>
      <c r="H6">
        <f ca="1">IFERROR(IF(0=LEN(ReferenceData!$AM$6),"",ReferenceData!$AM$6),"")</f>
        <v>23.490049689999999</v>
      </c>
      <c r="I6">
        <f ca="1">IFERROR(IF(0=LEN(ReferenceData!$AL$6),"",ReferenceData!$AL$6),"")</f>
        <v>23.164297170000001</v>
      </c>
      <c r="J6">
        <f ca="1">IFERROR(IF(0=LEN(ReferenceData!$AK$6),"",ReferenceData!$AK$6),"")</f>
        <v>18.74829867</v>
      </c>
      <c r="K6">
        <f ca="1">IFERROR(IF(0=LEN(ReferenceData!$AJ$6),"",ReferenceData!$AJ$6),"")</f>
        <v>32.199699029999998</v>
      </c>
      <c r="L6">
        <f ca="1">IFERROR(IF(0=LEN(ReferenceData!$AI$6),"",ReferenceData!$AI$6),"")</f>
        <v>5.3500001040000003</v>
      </c>
      <c r="M6">
        <f ca="1">IFERROR(IF(0=LEN(ReferenceData!$AH$6),"",ReferenceData!$AH$6),"")</f>
        <v>14.000002090000001</v>
      </c>
      <c r="N6">
        <f ca="1">IFERROR(IF(0=LEN(ReferenceData!$AG$6),"",ReferenceData!$AG$6),"")</f>
        <v>38.988898059999997</v>
      </c>
      <c r="O6">
        <f ca="1">IFERROR(IF(0=LEN(ReferenceData!$AF$6),"",ReferenceData!$AF$6),"")</f>
        <v>19.59999998</v>
      </c>
      <c r="P6">
        <f ca="1">IFERROR(IF(0=LEN(ReferenceData!$AE$6),"",ReferenceData!$AE$6),"")</f>
        <v>2.5000003199999998</v>
      </c>
      <c r="Q6">
        <f ca="1">IFERROR(IF(0=LEN(ReferenceData!$AD$6),"",ReferenceData!$AD$6),"")</f>
        <v>21.861197529999998</v>
      </c>
      <c r="R6">
        <f ca="1">IFERROR(IF(0=LEN(ReferenceData!$AC$6),"",ReferenceData!$AC$6),"")</f>
        <v>20.4281009</v>
      </c>
      <c r="S6" t="str">
        <f ca="1">IFERROR(IF(0=LEN(ReferenceData!$AB$6),"",ReferenceData!$AB$6),"")</f>
        <v/>
      </c>
      <c r="T6" t="str">
        <f ca="1">IFERROR(IF(0=LEN(ReferenceData!$AA$6),"",ReferenceData!$AA$6),"")</f>
        <v/>
      </c>
      <c r="U6">
        <f ca="1">IFERROR(IF(0=LEN(ReferenceData!$Z$6),"",ReferenceData!$Z$6),"")</f>
        <v>18.299999700000001</v>
      </c>
      <c r="V6">
        <f ca="1">IFERROR(IF(0=LEN(ReferenceData!$Y$6),"",ReferenceData!$Y$6),"")</f>
        <v>16.168251059999999</v>
      </c>
      <c r="W6">
        <f ca="1">IFERROR(IF(0=LEN(ReferenceData!$X$6),"",ReferenceData!$X$6),"")</f>
        <v>31.630719110000001</v>
      </c>
      <c r="X6">
        <f ca="1">IFERROR(IF(0=LEN(ReferenceData!$W$6),"",ReferenceData!$W$6),"")</f>
        <v>8.3499987559999997</v>
      </c>
      <c r="Y6">
        <f ca="1">IFERROR(IF(0=LEN(ReferenceData!$V$6),"",ReferenceData!$V$6),"")</f>
        <v>21.627999620000001</v>
      </c>
      <c r="Z6">
        <f ca="1">IFERROR(IF(0=LEN(ReferenceData!$U$6),"",ReferenceData!$U$6),"")</f>
        <v>47.584899980000003</v>
      </c>
      <c r="AA6">
        <f ca="1">IFERROR(IF(0=LEN(ReferenceData!$T$6),"",ReferenceData!$T$6),"")</f>
        <v>28.89620008</v>
      </c>
      <c r="AB6">
        <f ca="1">IFERROR(IF(0=LEN(ReferenceData!$S$6),"",ReferenceData!$S$6),"")</f>
        <v>19.40000032</v>
      </c>
      <c r="AC6">
        <f ca="1">IFERROR(IF(0=LEN(ReferenceData!$R$6),"",ReferenceData!$R$6),"")</f>
        <v>25.64949708</v>
      </c>
      <c r="AD6">
        <f ca="1">IFERROR(IF(0=LEN(ReferenceData!$Q$6),"",ReferenceData!$Q$6),"")</f>
        <v>24.005002749999999</v>
      </c>
      <c r="AE6">
        <f ca="1">IFERROR(IF(0=LEN(ReferenceData!$P$6),"",ReferenceData!$P$6),"")</f>
        <v>7.4135999999999997</v>
      </c>
      <c r="AF6">
        <f ca="1">IFERROR(IF(0=LEN(ReferenceData!$O$6),"",ReferenceData!$O$6),"")</f>
        <v>15.6</v>
      </c>
      <c r="AG6">
        <f ca="1">IFERROR(IF(0=LEN(ReferenceData!$N$6),"",ReferenceData!$N$6),"")</f>
        <v>34.92944</v>
      </c>
      <c r="AH6">
        <f ca="1">IFERROR(IF(0=LEN(ReferenceData!$M$6),"",ReferenceData!$M$6),"")</f>
        <v>25.204000000000001</v>
      </c>
      <c r="AI6">
        <f ca="1">IFERROR(IF(0=LEN(ReferenceData!$L$6),"",ReferenceData!$L$6),"")</f>
        <v>12.0662</v>
      </c>
      <c r="AJ6">
        <f ca="1">IFERROR(IF(0=LEN(ReferenceData!$K$6),"",ReferenceData!$K$6),"")</f>
        <v>9.4</v>
      </c>
      <c r="AK6">
        <f ca="1">IFERROR(IF(0=LEN(ReferenceData!$J$6),"",ReferenceData!$J$6),"")</f>
        <v>22.65</v>
      </c>
      <c r="AL6">
        <f ca="1">IFERROR(IF(0=LEN(ReferenceData!$I$6),"",ReferenceData!$I$6),"")</f>
        <v>48.190779999999997</v>
      </c>
      <c r="AM6">
        <f ca="1">IFERROR(IF(0=LEN(ReferenceData!$H$6),"",ReferenceData!$H$6),"")</f>
        <v>15.5</v>
      </c>
      <c r="AN6">
        <f ca="1">IFERROR(IF(0=LEN(ReferenceData!$G$6),"",ReferenceData!$G$6),"")</f>
        <v>17.664750000000002</v>
      </c>
      <c r="AO6">
        <f ca="1">IFERROR(IF(0=LEN(ReferenceData!$F$6),"",ReferenceData!$F$6),"")</f>
        <v>11.3</v>
      </c>
    </row>
    <row r="7" spans="1:41" x14ac:dyDescent="0.25">
      <c r="A7" t="str">
        <f>IFERROR(IF(0=LEN(ReferenceData!$A$7),"",ReferenceData!$A$7),"")</f>
        <v xml:space="preserve">    Consumer Staples</v>
      </c>
      <c r="B7" t="str">
        <f>IFERROR(IF(0=LEN(ReferenceData!$B$7),"",ReferenceData!$B$7),"")</f>
        <v/>
      </c>
      <c r="C7" t="str">
        <f>IFERROR(IF(0=LEN(ReferenceData!$C$7),"",ReferenceData!$C$7),"")</f>
        <v/>
      </c>
      <c r="D7" t="str">
        <f>IFERROR(IF(0=LEN(ReferenceData!$D$7),"",ReferenceData!$D$7),"")</f>
        <v/>
      </c>
      <c r="E7" t="str">
        <f>IFERROR(IF(0=LEN(ReferenceData!$E$7),"",ReferenceData!$E$7),"")</f>
        <v>Static</v>
      </c>
      <c r="F7">
        <f ca="1">IFERROR(IF(0=LEN(ReferenceData!$AO$7),"",ReferenceData!$AO$7),"")</f>
        <v>3.4999998720000001</v>
      </c>
      <c r="G7">
        <f ca="1">IFERROR(IF(0=LEN(ReferenceData!$AN$7),"",ReferenceData!$AN$7),"")</f>
        <v>8.0000012179999995</v>
      </c>
      <c r="H7">
        <f ca="1">IFERROR(IF(0=LEN(ReferenceData!$AM$7),"",ReferenceData!$AM$7),"")</f>
        <v>1.0000001300000001</v>
      </c>
      <c r="I7">
        <f ca="1">IFERROR(IF(0=LEN(ReferenceData!$AL$7),"",ReferenceData!$AL$7),"")</f>
        <v>23.100002880000002</v>
      </c>
      <c r="J7">
        <f ca="1">IFERROR(IF(0=LEN(ReferenceData!$AK$7),"",ReferenceData!$AK$7),"")</f>
        <v>27.249997530000002</v>
      </c>
      <c r="K7">
        <f ca="1">IFERROR(IF(0=LEN(ReferenceData!$AJ$7),"",ReferenceData!$AJ$7),"")</f>
        <v>19.50000296</v>
      </c>
      <c r="L7">
        <f ca="1">IFERROR(IF(0=LEN(ReferenceData!$AI$7),"",ReferenceData!$AI$7),"")</f>
        <v>1.2000002000000001</v>
      </c>
      <c r="M7">
        <f ca="1">IFERROR(IF(0=LEN(ReferenceData!$AH$7),"",ReferenceData!$AH$7),"")</f>
        <v>5.4976000000000003</v>
      </c>
      <c r="N7">
        <f ca="1">IFERROR(IF(0=LEN(ReferenceData!$AG$7),"",ReferenceData!$AG$7),"")</f>
        <v>8.3790020439999999</v>
      </c>
      <c r="O7">
        <f ca="1">IFERROR(IF(0=LEN(ReferenceData!$AF$7),"",ReferenceData!$AF$7),"")</f>
        <v>4</v>
      </c>
      <c r="P7">
        <f ca="1">IFERROR(IF(0=LEN(ReferenceData!$AE$7),"",ReferenceData!$AE$7),"")</f>
        <v>12.330001920000001</v>
      </c>
      <c r="Q7">
        <f ca="1">IFERROR(IF(0=LEN(ReferenceData!$AD$7),"",ReferenceData!$AD$7),"")</f>
        <v>3.1000003700000001</v>
      </c>
      <c r="R7">
        <f ca="1">IFERROR(IF(0=LEN(ReferenceData!$AC$7),"",ReferenceData!$AC$7),"")</f>
        <v>0.50000007999999996</v>
      </c>
      <c r="S7" t="str">
        <f ca="1">IFERROR(IF(0=LEN(ReferenceData!$AB$7),"",ReferenceData!$AB$7),"")</f>
        <v/>
      </c>
      <c r="T7">
        <f ca="1">IFERROR(IF(0=LEN(ReferenceData!$AA$7),"",ReferenceData!$AA$7),"")</f>
        <v>11.99999914</v>
      </c>
      <c r="U7">
        <f ca="1">IFERROR(IF(0=LEN(ReferenceData!$Z$7),"",ReferenceData!$Z$7),"")</f>
        <v>4.5781506360000002</v>
      </c>
      <c r="V7">
        <f ca="1">IFERROR(IF(0=LEN(ReferenceData!$Y$7),"",ReferenceData!$Y$7),"")</f>
        <v>33.460405219999998</v>
      </c>
      <c r="W7">
        <f ca="1">IFERROR(IF(0=LEN(ReferenceData!$X$7),"",ReferenceData!$X$7),"")</f>
        <v>13.750000549999999</v>
      </c>
      <c r="X7">
        <f ca="1">IFERROR(IF(0=LEN(ReferenceData!$W$7),"",ReferenceData!$W$7),"")</f>
        <v>26.549998469999998</v>
      </c>
      <c r="Y7">
        <f ca="1">IFERROR(IF(0=LEN(ReferenceData!$V$7),"",ReferenceData!$V$7),"")</f>
        <v>6.8648499279999999</v>
      </c>
      <c r="Z7">
        <f ca="1">IFERROR(IF(0=LEN(ReferenceData!$U$7),"",ReferenceData!$U$7),"")</f>
        <v>15.200000040000001</v>
      </c>
      <c r="AA7">
        <f ca="1">IFERROR(IF(0=LEN(ReferenceData!$T$7),"",ReferenceData!$T$7),"")</f>
        <v>7.6040014859999996</v>
      </c>
      <c r="AB7">
        <f ca="1">IFERROR(IF(0=LEN(ReferenceData!$S$7),"",ReferenceData!$S$7),"")</f>
        <v>11.00000028</v>
      </c>
      <c r="AC7">
        <f ca="1">IFERROR(IF(0=LEN(ReferenceData!$R$7),"",ReferenceData!$R$7),"")</f>
        <v>22.00000008</v>
      </c>
      <c r="AD7">
        <f ca="1">IFERROR(IF(0=LEN(ReferenceData!$Q$7),"",ReferenceData!$Q$7),"")</f>
        <v>10.999998209999999</v>
      </c>
      <c r="AE7">
        <f ca="1">IFERROR(IF(0=LEN(ReferenceData!$P$7),"",ReferenceData!$P$7),"")</f>
        <v>1.7</v>
      </c>
      <c r="AF7">
        <f ca="1">IFERROR(IF(0=LEN(ReferenceData!$O$7),"",ReferenceData!$O$7),"")</f>
        <v>6</v>
      </c>
      <c r="AG7">
        <f ca="1">IFERROR(IF(0=LEN(ReferenceData!$N$7),"",ReferenceData!$N$7),"")</f>
        <v>8.4046299999999992</v>
      </c>
      <c r="AH7">
        <f ca="1">IFERROR(IF(0=LEN(ReferenceData!$M$7),"",ReferenceData!$M$7),"")</f>
        <v>6.4</v>
      </c>
      <c r="AI7">
        <f ca="1">IFERROR(IF(0=LEN(ReferenceData!$L$7),"",ReferenceData!$L$7),"")</f>
        <v>3.5</v>
      </c>
      <c r="AJ7">
        <f ca="1">IFERROR(IF(0=LEN(ReferenceData!$K$7),"",ReferenceData!$K$7),"")</f>
        <v>0.5</v>
      </c>
      <c r="AK7">
        <f ca="1">IFERROR(IF(0=LEN(ReferenceData!$J$7),"",ReferenceData!$J$7),"")</f>
        <v>22.792000000000002</v>
      </c>
      <c r="AL7">
        <f ca="1">IFERROR(IF(0=LEN(ReferenceData!$I$7),"",ReferenceData!$I$7),"")</f>
        <v>6</v>
      </c>
      <c r="AM7">
        <f ca="1">IFERROR(IF(0=LEN(ReferenceData!$H$7),"",ReferenceData!$H$7),"")</f>
        <v>4</v>
      </c>
      <c r="AN7">
        <f ca="1">IFERROR(IF(0=LEN(ReferenceData!$G$7),"",ReferenceData!$G$7),"")</f>
        <v>6.117</v>
      </c>
      <c r="AO7">
        <f ca="1">IFERROR(IF(0=LEN(ReferenceData!$F$7),"",ReferenceData!$F$7),"")</f>
        <v>4.4000000000000004</v>
      </c>
    </row>
    <row r="8" spans="1:41" x14ac:dyDescent="0.25">
      <c r="A8" t="str">
        <f>IFERROR(IF(0=LEN(ReferenceData!$A$8),"",ReferenceData!$A$8),"")</f>
        <v xml:space="preserve">    Energy</v>
      </c>
      <c r="B8" t="str">
        <f>IFERROR(IF(0=LEN(ReferenceData!$B$8),"",ReferenceData!$B$8),"")</f>
        <v/>
      </c>
      <c r="C8" t="str">
        <f>IFERROR(IF(0=LEN(ReferenceData!$C$8),"",ReferenceData!$C$8),"")</f>
        <v/>
      </c>
      <c r="D8" t="str">
        <f>IFERROR(IF(0=LEN(ReferenceData!$D$8),"",ReferenceData!$D$8),"")</f>
        <v/>
      </c>
      <c r="E8" t="str">
        <f>IFERROR(IF(0=LEN(ReferenceData!$E$8),"",ReferenceData!$E$8),"")</f>
        <v>Static</v>
      </c>
      <c r="F8">
        <f ca="1">IFERROR(IF(0=LEN(ReferenceData!$AO$8),"",ReferenceData!$AO$8),"")</f>
        <v>2.9999989839999999</v>
      </c>
      <c r="G8">
        <f ca="1">IFERROR(IF(0=LEN(ReferenceData!$AN$8),"",ReferenceData!$AN$8),"")</f>
        <v>3.4999990639999998</v>
      </c>
      <c r="H8">
        <f ca="1">IFERROR(IF(0=LEN(ReferenceData!$AM$8),"",ReferenceData!$AM$8),"")</f>
        <v>2.0000003199999998</v>
      </c>
      <c r="I8">
        <f ca="1">IFERROR(IF(0=LEN(ReferenceData!$AL$8),"",ReferenceData!$AL$8),"")</f>
        <v>5.9999980879999999</v>
      </c>
      <c r="J8">
        <f ca="1">IFERROR(IF(0=LEN(ReferenceData!$AK$8),"",ReferenceData!$AK$8),"")</f>
        <v>4.7515006169999996</v>
      </c>
      <c r="K8">
        <f ca="1">IFERROR(IF(0=LEN(ReferenceData!$AJ$8),"",ReferenceData!$AJ$8),"")</f>
        <v>7.9999989840000003</v>
      </c>
      <c r="L8">
        <f ca="1">IFERROR(IF(0=LEN(ReferenceData!$AI$8),"",ReferenceData!$AI$8),"")</f>
        <v>10.956195729999999</v>
      </c>
      <c r="M8">
        <f ca="1">IFERROR(IF(0=LEN(ReferenceData!$AH$8),"",ReferenceData!$AH$8),"")</f>
        <v>2.80000048</v>
      </c>
      <c r="N8">
        <f ca="1">IFERROR(IF(0=LEN(ReferenceData!$AG$8),"",ReferenceData!$AG$8),"")</f>
        <v>25.999990400000002</v>
      </c>
      <c r="O8">
        <f ca="1">IFERROR(IF(0=LEN(ReferenceData!$AF$8),"",ReferenceData!$AF$8),"")</f>
        <v>2.0000003199999998</v>
      </c>
      <c r="P8">
        <f ca="1">IFERROR(IF(0=LEN(ReferenceData!$AE$8),"",ReferenceData!$AE$8),"")</f>
        <v>1.4289998230000001</v>
      </c>
      <c r="Q8">
        <f ca="1">IFERROR(IF(0=LEN(ReferenceData!$AD$8),"",ReferenceData!$AD$8),"")</f>
        <v>3.9999992639999999</v>
      </c>
      <c r="R8">
        <f ca="1">IFERROR(IF(0=LEN(ReferenceData!$AC$8),"",ReferenceData!$AC$8),"")</f>
        <v>10.000001060000001</v>
      </c>
      <c r="S8" t="str">
        <f ca="1">IFERROR(IF(0=LEN(ReferenceData!$AB$8),"",ReferenceData!$AB$8),"")</f>
        <v/>
      </c>
      <c r="T8" t="str">
        <f ca="1">IFERROR(IF(0=LEN(ReferenceData!$AA$8),"",ReferenceData!$AA$8),"")</f>
        <v/>
      </c>
      <c r="U8" t="str">
        <f ca="1">IFERROR(IF(0=LEN(ReferenceData!$Z$8),"",ReferenceData!$Z$8),"")</f>
        <v/>
      </c>
      <c r="V8" t="str">
        <f ca="1">IFERROR(IF(0=LEN(ReferenceData!$Y$8),"",ReferenceData!$Y$8),"")</f>
        <v/>
      </c>
      <c r="W8">
        <f ca="1">IFERROR(IF(0=LEN(ReferenceData!$X$8),"",ReferenceData!$X$8),"")</f>
        <v>8.0266149900000006</v>
      </c>
      <c r="X8">
        <f ca="1">IFERROR(IF(0=LEN(ReferenceData!$W$8),"",ReferenceData!$W$8),"")</f>
        <v>5.4999998720000001</v>
      </c>
      <c r="Y8">
        <f ca="1">IFERROR(IF(0=LEN(ReferenceData!$V$8),"",ReferenceData!$V$8),"")</f>
        <v>8.4399999179999998</v>
      </c>
      <c r="Z8">
        <f ca="1">IFERROR(IF(0=LEN(ReferenceData!$U$8),"",ReferenceData!$U$8),"")</f>
        <v>23.850001410000001</v>
      </c>
      <c r="AA8">
        <f ca="1">IFERROR(IF(0=LEN(ReferenceData!$T$8),"",ReferenceData!$T$8),"")</f>
        <v>21.760002109999999</v>
      </c>
      <c r="AB8">
        <f ca="1">IFERROR(IF(0=LEN(ReferenceData!$S$8),"",ReferenceData!$S$8),"")</f>
        <v>12.01680039</v>
      </c>
      <c r="AC8">
        <f ca="1">IFERROR(IF(0=LEN(ReferenceData!$R$8),"",ReferenceData!$R$8),"")</f>
        <v>51.300002110000001</v>
      </c>
      <c r="AD8">
        <f ca="1">IFERROR(IF(0=LEN(ReferenceData!$Q$8),"",ReferenceData!$Q$8),"")</f>
        <v>89.500008699999995</v>
      </c>
      <c r="AE8">
        <f ca="1">IFERROR(IF(0=LEN(ReferenceData!$P$8),"",ReferenceData!$P$8),"")</f>
        <v>11.000000139999999</v>
      </c>
      <c r="AF8">
        <f ca="1">IFERROR(IF(0=LEN(ReferenceData!$O$8),"",ReferenceData!$O$8),"")</f>
        <v>2.5</v>
      </c>
      <c r="AG8">
        <f ca="1">IFERROR(IF(0=LEN(ReferenceData!$N$8),"",ReferenceData!$N$8),"")</f>
        <v>7.5</v>
      </c>
      <c r="AH8">
        <f ca="1">IFERROR(IF(0=LEN(ReferenceData!$M$8),"",ReferenceData!$M$8),"")</f>
        <v>4.5</v>
      </c>
      <c r="AI8">
        <f ca="1">IFERROR(IF(0=LEN(ReferenceData!$L$8),"",ReferenceData!$L$8),"")</f>
        <v>5</v>
      </c>
      <c r="AJ8">
        <f ca="1">IFERROR(IF(0=LEN(ReferenceData!$K$8),"",ReferenceData!$K$8),"")</f>
        <v>8</v>
      </c>
      <c r="AK8">
        <f ca="1">IFERROR(IF(0=LEN(ReferenceData!$J$8),"",ReferenceData!$J$8),"")</f>
        <v>56.2</v>
      </c>
      <c r="AL8" t="str">
        <f ca="1">IFERROR(IF(0=LEN(ReferenceData!$I$8),"",ReferenceData!$I$8),"")</f>
        <v/>
      </c>
      <c r="AM8" t="str">
        <f ca="1">IFERROR(IF(0=LEN(ReferenceData!$H$8),"",ReferenceData!$H$8),"")</f>
        <v/>
      </c>
      <c r="AN8">
        <f ca="1">IFERROR(IF(0=LEN(ReferenceData!$G$8),"",ReferenceData!$G$8),"")</f>
        <v>3</v>
      </c>
      <c r="AO8" t="str">
        <f ca="1">IFERROR(IF(0=LEN(ReferenceData!$F$8),"",ReferenceData!$F$8),"")</f>
        <v/>
      </c>
    </row>
    <row r="9" spans="1:41" x14ac:dyDescent="0.25">
      <c r="A9" t="str">
        <f>IFERROR(IF(0=LEN(ReferenceData!$A$9),"",ReferenceData!$A$9),"")</f>
        <v xml:space="preserve">    Financials</v>
      </c>
      <c r="B9" t="str">
        <f>IFERROR(IF(0=LEN(ReferenceData!$B$9),"",ReferenceData!$B$9),"")</f>
        <v/>
      </c>
      <c r="C9" t="str">
        <f>IFERROR(IF(0=LEN(ReferenceData!$C$9),"",ReferenceData!$C$9),"")</f>
        <v/>
      </c>
      <c r="D9" t="str">
        <f>IFERROR(IF(0=LEN(ReferenceData!$D$9),"",ReferenceData!$D$9),"")</f>
        <v/>
      </c>
      <c r="E9" t="str">
        <f>IFERROR(IF(0=LEN(ReferenceData!$E$9),"",ReferenceData!$E$9),"")</f>
        <v>Static</v>
      </c>
      <c r="F9">
        <f ca="1">IFERROR(IF(0=LEN(ReferenceData!$AO$9),"",ReferenceData!$AO$9),"")</f>
        <v>9.7000005399999996</v>
      </c>
      <c r="G9">
        <f ca="1">IFERROR(IF(0=LEN(ReferenceData!$AN$9),"",ReferenceData!$AN$9),"")</f>
        <v>118.7574965</v>
      </c>
      <c r="H9">
        <f ca="1">IFERROR(IF(0=LEN(ReferenceData!$AM$9),"",ReferenceData!$AM$9),"")</f>
        <v>15.00326667</v>
      </c>
      <c r="I9">
        <f ca="1">IFERROR(IF(0=LEN(ReferenceData!$AL$9),"",ReferenceData!$AL$9),"")</f>
        <v>14.753001530000001</v>
      </c>
      <c r="J9">
        <f ca="1">IFERROR(IF(0=LEN(ReferenceData!$AK$9),"",ReferenceData!$AK$9),"")</f>
        <v>36.738095399999999</v>
      </c>
      <c r="K9">
        <f ca="1">IFERROR(IF(0=LEN(ReferenceData!$AJ$9),"",ReferenceData!$AJ$9),"")</f>
        <v>128.62568440000001</v>
      </c>
      <c r="L9">
        <f ca="1">IFERROR(IF(0=LEN(ReferenceData!$AI$9),"",ReferenceData!$AI$9),"")</f>
        <v>16.842702670000001</v>
      </c>
      <c r="M9">
        <f ca="1">IFERROR(IF(0=LEN(ReferenceData!$AH$9),"",ReferenceData!$AH$9),"")</f>
        <v>39.875997509999998</v>
      </c>
      <c r="N9">
        <f ca="1">IFERROR(IF(0=LEN(ReferenceData!$AG$9),"",ReferenceData!$AG$9),"")</f>
        <v>25.777221260000001</v>
      </c>
      <c r="O9">
        <f ca="1">IFERROR(IF(0=LEN(ReferenceData!$AF$9),"",ReferenceData!$AF$9),"")</f>
        <v>123.9434938</v>
      </c>
      <c r="P9">
        <f ca="1">IFERROR(IF(0=LEN(ReferenceData!$AE$9),"",ReferenceData!$AE$9),"")</f>
        <v>37.626300929999999</v>
      </c>
      <c r="Q9">
        <f ca="1">IFERROR(IF(0=LEN(ReferenceData!$AD$9),"",ReferenceData!$AD$9),"")</f>
        <v>20.6001917</v>
      </c>
      <c r="R9">
        <f ca="1">IFERROR(IF(0=LEN(ReferenceData!$AC$9),"",ReferenceData!$AC$9),"")</f>
        <v>26.367495170000002</v>
      </c>
      <c r="S9">
        <f ca="1">IFERROR(IF(0=LEN(ReferenceData!$AB$9),"",ReferenceData!$AB$9),"")</f>
        <v>6.8317600330000001</v>
      </c>
      <c r="T9">
        <f ca="1">IFERROR(IF(0=LEN(ReferenceData!$AA$9),"",ReferenceData!$AA$9),"")</f>
        <v>10.75400099</v>
      </c>
      <c r="U9">
        <f ca="1">IFERROR(IF(0=LEN(ReferenceData!$Z$9),"",ReferenceData!$Z$9),"")</f>
        <v>71.531627229999998</v>
      </c>
      <c r="V9">
        <f ca="1">IFERROR(IF(0=LEN(ReferenceData!$Y$9),"",ReferenceData!$Y$9),"")</f>
        <v>57.423476819999998</v>
      </c>
      <c r="W9">
        <f ca="1">IFERROR(IF(0=LEN(ReferenceData!$X$9),"",ReferenceData!$X$9),"")</f>
        <v>62.843759679999998</v>
      </c>
      <c r="X9">
        <f ca="1">IFERROR(IF(0=LEN(ReferenceData!$W$9),"",ReferenceData!$W$9),"")</f>
        <v>34.989000410000003</v>
      </c>
      <c r="Y9">
        <f ca="1">IFERROR(IF(0=LEN(ReferenceData!$V$9),"",ReferenceData!$V$9),"")</f>
        <v>57.483049649999998</v>
      </c>
      <c r="Z9">
        <f ca="1">IFERROR(IF(0=LEN(ReferenceData!$U$9),"",ReferenceData!$U$9),"")</f>
        <v>24.509997330000001</v>
      </c>
      <c r="AA9">
        <f ca="1">IFERROR(IF(0=LEN(ReferenceData!$T$9),"",ReferenceData!$T$9),"")</f>
        <v>104.1475944</v>
      </c>
      <c r="AB9">
        <f ca="1">IFERROR(IF(0=LEN(ReferenceData!$S$9),"",ReferenceData!$S$9),"")</f>
        <v>26.14999619</v>
      </c>
      <c r="AC9">
        <f ca="1">IFERROR(IF(0=LEN(ReferenceData!$R$9),"",ReferenceData!$R$9),"")</f>
        <v>32.608581319999999</v>
      </c>
      <c r="AD9">
        <f ca="1">IFERROR(IF(0=LEN(ReferenceData!$Q$9),"",ReferenceData!$Q$9),"")</f>
        <v>78.08894694</v>
      </c>
      <c r="AE9">
        <f ca="1">IFERROR(IF(0=LEN(ReferenceData!$P$9),"",ReferenceData!$P$9),"")</f>
        <v>42.211750129999999</v>
      </c>
      <c r="AF9">
        <f ca="1">IFERROR(IF(0=LEN(ReferenceData!$O$9),"",ReferenceData!$O$9),"")</f>
        <v>41.85</v>
      </c>
      <c r="AG9">
        <f ca="1">IFERROR(IF(0=LEN(ReferenceData!$N$9),"",ReferenceData!$N$9),"")</f>
        <v>39.821888000000001</v>
      </c>
      <c r="AH9">
        <f ca="1">IFERROR(IF(0=LEN(ReferenceData!$M$9),"",ReferenceData!$M$9),"")</f>
        <v>13.658526</v>
      </c>
      <c r="AI9">
        <f ca="1">IFERROR(IF(0=LEN(ReferenceData!$L$9),"",ReferenceData!$L$9),"")</f>
        <v>77.149000000000001</v>
      </c>
      <c r="AJ9">
        <f ca="1">IFERROR(IF(0=LEN(ReferenceData!$K$9),"",ReferenceData!$K$9),"")</f>
        <v>46.5</v>
      </c>
      <c r="AK9">
        <f ca="1">IFERROR(IF(0=LEN(ReferenceData!$J$9),"",ReferenceData!$J$9),"")</f>
        <v>35.545740000000002</v>
      </c>
      <c r="AL9">
        <f ca="1">IFERROR(IF(0=LEN(ReferenceData!$I$9),"",ReferenceData!$I$9),"")</f>
        <v>80.406599999999997</v>
      </c>
      <c r="AM9">
        <f ca="1">IFERROR(IF(0=LEN(ReferenceData!$H$9),"",ReferenceData!$H$9),"")</f>
        <v>138.49674999999999</v>
      </c>
      <c r="AN9">
        <f ca="1">IFERROR(IF(0=LEN(ReferenceData!$G$9),"",ReferenceData!$G$9),"")</f>
        <v>147.80500000000001</v>
      </c>
      <c r="AO9">
        <f ca="1">IFERROR(IF(0=LEN(ReferenceData!$F$9),"",ReferenceData!$F$9),"")</f>
        <v>68.800799999999995</v>
      </c>
    </row>
    <row r="10" spans="1:41" x14ac:dyDescent="0.25">
      <c r="A10" t="str">
        <f>IFERROR(IF(0=LEN(ReferenceData!$A$10),"",ReferenceData!$A$10),"")</f>
        <v xml:space="preserve">    Health Care</v>
      </c>
      <c r="B10" t="str">
        <f>IFERROR(IF(0=LEN(ReferenceData!$B$10),"",ReferenceData!$B$10),"")</f>
        <v/>
      </c>
      <c r="C10" t="str">
        <f>IFERROR(IF(0=LEN(ReferenceData!$C$10),"",ReferenceData!$C$10),"")</f>
        <v/>
      </c>
      <c r="D10" t="str">
        <f>IFERROR(IF(0=LEN(ReferenceData!$D$10),"",ReferenceData!$D$10),"")</f>
        <v/>
      </c>
      <c r="E10" t="str">
        <f>IFERROR(IF(0=LEN(ReferenceData!$E$10),"",ReferenceData!$E$10),"")</f>
        <v>Static</v>
      </c>
      <c r="F10">
        <f ca="1">IFERROR(IF(0=LEN(ReferenceData!$AO$10),"",ReferenceData!$AO$10),"")</f>
        <v>7.7499995689999999</v>
      </c>
      <c r="G10">
        <f ca="1">IFERROR(IF(0=LEN(ReferenceData!$AN$10),"",ReferenceData!$AN$10),"")</f>
        <v>6.7308411279999998</v>
      </c>
      <c r="H10">
        <f ca="1">IFERROR(IF(0=LEN(ReferenceData!$AM$10),"",ReferenceData!$AM$10),"")</f>
        <v>0.40000006500000002</v>
      </c>
      <c r="I10">
        <f ca="1">IFERROR(IF(0=LEN(ReferenceData!$AL$10),"",ReferenceData!$AL$10),"")</f>
        <v>29.653003510000001</v>
      </c>
      <c r="J10">
        <f ca="1">IFERROR(IF(0=LEN(ReferenceData!$AK$10),"",ReferenceData!$AK$10),"")</f>
        <v>25.000001900000001</v>
      </c>
      <c r="K10">
        <f ca="1">IFERROR(IF(0=LEN(ReferenceData!$AJ$10),"",ReferenceData!$AJ$10),"")</f>
        <v>45.965004550000003</v>
      </c>
      <c r="L10">
        <f ca="1">IFERROR(IF(0=LEN(ReferenceData!$AI$10),"",ReferenceData!$AI$10),"")</f>
        <v>14.25000159</v>
      </c>
      <c r="M10">
        <f ca="1">IFERROR(IF(0=LEN(ReferenceData!$AH$10),"",ReferenceData!$AH$10),"")</f>
        <v>44.250004820000001</v>
      </c>
      <c r="N10">
        <f ca="1">IFERROR(IF(0=LEN(ReferenceData!$AG$10),"",ReferenceData!$AG$10),"")</f>
        <v>22.799999589999999</v>
      </c>
      <c r="O10">
        <f ca="1">IFERROR(IF(0=LEN(ReferenceData!$AF$10),"",ReferenceData!$AF$10),"")</f>
        <v>6.0000006880000001</v>
      </c>
      <c r="P10">
        <f ca="1">IFERROR(IF(0=LEN(ReferenceData!$AE$10),"",ReferenceData!$AE$10),"")</f>
        <v>5.7000005299999996</v>
      </c>
      <c r="Q10">
        <f ca="1">IFERROR(IF(0=LEN(ReferenceData!$AD$10),"",ReferenceData!$AD$10),"")</f>
        <v>20.90000096</v>
      </c>
      <c r="R10">
        <f ca="1">IFERROR(IF(0=LEN(ReferenceData!$AC$10),"",ReferenceData!$AC$10),"")</f>
        <v>13.416401069999999</v>
      </c>
      <c r="S10">
        <f ca="1">IFERROR(IF(0=LEN(ReferenceData!$AB$10),"",ReferenceData!$AB$10),"")</f>
        <v>0.50000007999999996</v>
      </c>
      <c r="T10">
        <f ca="1">IFERROR(IF(0=LEN(ReferenceData!$AA$10),"",ReferenceData!$AA$10),"")</f>
        <v>1.30148866</v>
      </c>
      <c r="U10">
        <f ca="1">IFERROR(IF(0=LEN(ReferenceData!$Z$10),"",ReferenceData!$Z$10),"")</f>
        <v>16.16865477</v>
      </c>
      <c r="V10">
        <f ca="1">IFERROR(IF(0=LEN(ReferenceData!$Y$10),"",ReferenceData!$Y$10),"")</f>
        <v>26.899997989999999</v>
      </c>
      <c r="W10">
        <f ca="1">IFERROR(IF(0=LEN(ReferenceData!$X$10),"",ReferenceData!$X$10),"")</f>
        <v>10.899999790000001</v>
      </c>
      <c r="X10">
        <f ca="1">IFERROR(IF(0=LEN(ReferenceData!$W$10),"",ReferenceData!$W$10),"")</f>
        <v>6.9999992640000004</v>
      </c>
      <c r="Y10">
        <f ca="1">IFERROR(IF(0=LEN(ReferenceData!$V$10),"",ReferenceData!$V$10),"")</f>
        <v>59.940794420000003</v>
      </c>
      <c r="Z10">
        <f ca="1">IFERROR(IF(0=LEN(ReferenceData!$U$10),"",ReferenceData!$U$10),"")</f>
        <v>23.062581529999999</v>
      </c>
      <c r="AA10">
        <f ca="1">IFERROR(IF(0=LEN(ReferenceData!$T$10),"",ReferenceData!$T$10),"")</f>
        <v>4</v>
      </c>
      <c r="AB10">
        <f ca="1">IFERROR(IF(0=LEN(ReferenceData!$S$10),"",ReferenceData!$S$10),"")</f>
        <v>18.600001089999999</v>
      </c>
      <c r="AC10">
        <f ca="1">IFERROR(IF(0=LEN(ReferenceData!$R$10),"",ReferenceData!$R$10),"")</f>
        <v>21.200000989999999</v>
      </c>
      <c r="AD10">
        <f ca="1">IFERROR(IF(0=LEN(ReferenceData!$Q$10),"",ReferenceData!$Q$10),"")</f>
        <v>29.399999179999998</v>
      </c>
      <c r="AE10">
        <f ca="1">IFERROR(IF(0=LEN(ReferenceData!$P$10),"",ReferenceData!$P$10),"")</f>
        <v>4.5999999999999996</v>
      </c>
      <c r="AF10">
        <f ca="1">IFERROR(IF(0=LEN(ReferenceData!$O$10),"",ReferenceData!$O$10),"")</f>
        <v>13</v>
      </c>
      <c r="AG10">
        <f ca="1">IFERROR(IF(0=LEN(ReferenceData!$N$10),"",ReferenceData!$N$10),"")</f>
        <v>25.65</v>
      </c>
      <c r="AH10">
        <f ca="1">IFERROR(IF(0=LEN(ReferenceData!$M$10),"",ReferenceData!$M$10),"")</f>
        <v>23.2</v>
      </c>
      <c r="AI10">
        <f ca="1">IFERROR(IF(0=LEN(ReferenceData!$L$10),"",ReferenceData!$L$10),"")</f>
        <v>8.6720000000000006</v>
      </c>
      <c r="AJ10">
        <f ca="1">IFERROR(IF(0=LEN(ReferenceData!$K$10),"",ReferenceData!$K$10),"")</f>
        <v>25.083600000000001</v>
      </c>
      <c r="AK10">
        <f ca="1">IFERROR(IF(0=LEN(ReferenceData!$J$10),"",ReferenceData!$J$10),"")</f>
        <v>59.081877499999997</v>
      </c>
      <c r="AL10">
        <f ca="1">IFERROR(IF(0=LEN(ReferenceData!$I$10),"",ReferenceData!$I$10),"")</f>
        <v>36.040799999999997</v>
      </c>
      <c r="AM10">
        <f ca="1">IFERROR(IF(0=LEN(ReferenceData!$H$10),"",ReferenceData!$H$10),"")</f>
        <v>12.75</v>
      </c>
      <c r="AN10">
        <f ca="1">IFERROR(IF(0=LEN(ReferenceData!$G$10),"",ReferenceData!$G$10),"")</f>
        <v>17.301549999999999</v>
      </c>
      <c r="AO10">
        <f ca="1">IFERROR(IF(0=LEN(ReferenceData!$F$10),"",ReferenceData!$F$10),"")</f>
        <v>16.125</v>
      </c>
    </row>
    <row r="11" spans="1:41" x14ac:dyDescent="0.25">
      <c r="A11" t="str">
        <f>IFERROR(IF(0=LEN(ReferenceData!$A$11),"",ReferenceData!$A$11),"")</f>
        <v xml:space="preserve">    Industrials</v>
      </c>
      <c r="B11" t="str">
        <f>IFERROR(IF(0=LEN(ReferenceData!$B$11),"",ReferenceData!$B$11),"")</f>
        <v/>
      </c>
      <c r="C11" t="str">
        <f>IFERROR(IF(0=LEN(ReferenceData!$C$11),"",ReferenceData!$C$11),"")</f>
        <v/>
      </c>
      <c r="D11" t="str">
        <f>IFERROR(IF(0=LEN(ReferenceData!$D$11),"",ReferenceData!$D$11),"")</f>
        <v/>
      </c>
      <c r="E11" t="str">
        <f>IFERROR(IF(0=LEN(ReferenceData!$E$11),"",ReferenceData!$E$11),"")</f>
        <v>Static</v>
      </c>
      <c r="F11">
        <f ca="1">IFERROR(IF(0=LEN(ReferenceData!$AO$11),"",ReferenceData!$AO$11),"")</f>
        <v>4.8241002569999996</v>
      </c>
      <c r="G11">
        <f ca="1">IFERROR(IF(0=LEN(ReferenceData!$AN$11),"",ReferenceData!$AN$11),"")</f>
        <v>11.197041029999999</v>
      </c>
      <c r="H11">
        <f ca="1">IFERROR(IF(0=LEN(ReferenceData!$AM$11),"",ReferenceData!$AM$11),"")</f>
        <v>11.967851749999999</v>
      </c>
      <c r="I11">
        <f ca="1">IFERROR(IF(0=LEN(ReferenceData!$AL$11),"",ReferenceData!$AL$11),"")</f>
        <v>34.149992130000001</v>
      </c>
      <c r="J11">
        <f ca="1">IFERROR(IF(0=LEN(ReferenceData!$AK$11),"",ReferenceData!$AK$11),"")</f>
        <v>7.6532001010000004</v>
      </c>
      <c r="K11">
        <f ca="1">IFERROR(IF(0=LEN(ReferenceData!$AJ$11),"",ReferenceData!$AJ$11),"")</f>
        <v>11.05518165</v>
      </c>
      <c r="L11">
        <f ca="1">IFERROR(IF(0=LEN(ReferenceData!$AI$11),"",ReferenceData!$AI$11),"")</f>
        <v>16.20000113</v>
      </c>
      <c r="M11">
        <f ca="1">IFERROR(IF(0=LEN(ReferenceData!$AH$11),"",ReferenceData!$AH$11),"")</f>
        <v>42.900203730000001</v>
      </c>
      <c r="N11">
        <f ca="1">IFERROR(IF(0=LEN(ReferenceData!$AG$11),"",ReferenceData!$AG$11),"")</f>
        <v>44.235506289999996</v>
      </c>
      <c r="O11">
        <f ca="1">IFERROR(IF(0=LEN(ReferenceData!$AF$11),"",ReferenceData!$AF$11),"")</f>
        <v>17.995792590000001</v>
      </c>
      <c r="P11">
        <f ca="1">IFERROR(IF(0=LEN(ReferenceData!$AE$11),"",ReferenceData!$AE$11),"")</f>
        <v>11.00000019</v>
      </c>
      <c r="Q11">
        <f ca="1">IFERROR(IF(0=LEN(ReferenceData!$AD$11),"",ReferenceData!$AD$11),"")</f>
        <v>17.000002330000001</v>
      </c>
      <c r="R11">
        <f ca="1">IFERROR(IF(0=LEN(ReferenceData!$AC$11),"",ReferenceData!$AC$11),"")</f>
        <v>9.0372014749999998</v>
      </c>
      <c r="S11">
        <f ca="1">IFERROR(IF(0=LEN(ReferenceData!$AB$11),"",ReferenceData!$AB$11),"")</f>
        <v>0.7</v>
      </c>
      <c r="T11">
        <f ca="1">IFERROR(IF(0=LEN(ReferenceData!$AA$11),"",ReferenceData!$AA$11),"")</f>
        <v>2.3000001640000001</v>
      </c>
      <c r="U11">
        <f ca="1">IFERROR(IF(0=LEN(ReferenceData!$Z$11),"",ReferenceData!$Z$11),"")</f>
        <v>16.808701429999999</v>
      </c>
      <c r="V11">
        <f ca="1">IFERROR(IF(0=LEN(ReferenceData!$Y$11),"",ReferenceData!$Y$11),"")</f>
        <v>28.522330090000001</v>
      </c>
      <c r="W11">
        <f ca="1">IFERROR(IF(0=LEN(ReferenceData!$X$11),"",ReferenceData!$X$11),"")</f>
        <v>11.382701150000001</v>
      </c>
      <c r="X11">
        <f ca="1">IFERROR(IF(0=LEN(ReferenceData!$W$11),"",ReferenceData!$W$11),"")</f>
        <v>18.79999999</v>
      </c>
      <c r="Y11">
        <f ca="1">IFERROR(IF(0=LEN(ReferenceData!$V$11),"",ReferenceData!$V$11),"")</f>
        <v>17.012598929999999</v>
      </c>
      <c r="Z11">
        <f ca="1">IFERROR(IF(0=LEN(ReferenceData!$U$11),"",ReferenceData!$U$11),"")</f>
        <v>60.589853079999997</v>
      </c>
      <c r="AA11">
        <f ca="1">IFERROR(IF(0=LEN(ReferenceData!$T$11),"",ReferenceData!$T$11),"")</f>
        <v>21.268257999999999</v>
      </c>
      <c r="AB11">
        <f ca="1">IFERROR(IF(0=LEN(ReferenceData!$S$11),"",ReferenceData!$S$11),"")</f>
        <v>8.4499293400000006</v>
      </c>
      <c r="AC11">
        <f ca="1">IFERROR(IF(0=LEN(ReferenceData!$R$11),"",ReferenceData!$R$11),"")</f>
        <v>58.250000319999998</v>
      </c>
      <c r="AD11">
        <f ca="1">IFERROR(IF(0=LEN(ReferenceData!$Q$11),"",ReferenceData!$Q$11),"")</f>
        <v>8.6437009660000008</v>
      </c>
      <c r="AE11">
        <f ca="1">IFERROR(IF(0=LEN(ReferenceData!$P$11),"",ReferenceData!$P$11),"")</f>
        <v>10.87537</v>
      </c>
      <c r="AF11">
        <f ca="1">IFERROR(IF(0=LEN(ReferenceData!$O$11),"",ReferenceData!$O$11),"")</f>
        <v>11.1782</v>
      </c>
      <c r="AG11">
        <f ca="1">IFERROR(IF(0=LEN(ReferenceData!$N$11),"",ReferenceData!$N$11),"")</f>
        <v>31.646599999999999</v>
      </c>
      <c r="AH11">
        <f ca="1">IFERROR(IF(0=LEN(ReferenceData!$M$11),"",ReferenceData!$M$11),"")</f>
        <v>36.932400000000001</v>
      </c>
      <c r="AI11">
        <f ca="1">IFERROR(IF(0=LEN(ReferenceData!$L$11),"",ReferenceData!$L$11),"")</f>
        <v>27.1416</v>
      </c>
      <c r="AJ11">
        <f ca="1">IFERROR(IF(0=LEN(ReferenceData!$K$11),"",ReferenceData!$K$11),"")</f>
        <v>11.3</v>
      </c>
      <c r="AK11">
        <f ca="1">IFERROR(IF(0=LEN(ReferenceData!$J$11),"",ReferenceData!$J$11),"")</f>
        <v>25.676600000000001</v>
      </c>
      <c r="AL11">
        <f ca="1">IFERROR(IF(0=LEN(ReferenceData!$I$11),"",ReferenceData!$I$11),"")</f>
        <v>17.88655</v>
      </c>
      <c r="AM11">
        <f ca="1">IFERROR(IF(0=LEN(ReferenceData!$H$11),"",ReferenceData!$H$11),"")</f>
        <v>18.307541799999999</v>
      </c>
      <c r="AN11">
        <f ca="1">IFERROR(IF(0=LEN(ReferenceData!$G$11),"",ReferenceData!$G$11),"")</f>
        <v>66.947999760000002</v>
      </c>
      <c r="AO11">
        <f ca="1">IFERROR(IF(0=LEN(ReferenceData!$F$11),"",ReferenceData!$F$11),"")</f>
        <v>28.8916</v>
      </c>
    </row>
    <row r="12" spans="1:41" x14ac:dyDescent="0.25">
      <c r="A12" t="str">
        <f>IFERROR(IF(0=LEN(ReferenceData!$A$12),"",ReferenceData!$A$12),"")</f>
        <v xml:space="preserve">    Information Technology</v>
      </c>
      <c r="B12" t="str">
        <f>IFERROR(IF(0=LEN(ReferenceData!$B$12),"",ReferenceData!$B$12),"")</f>
        <v/>
      </c>
      <c r="C12" t="str">
        <f>IFERROR(IF(0=LEN(ReferenceData!$C$12),"",ReferenceData!$C$12),"")</f>
        <v/>
      </c>
      <c r="D12" t="str">
        <f>IFERROR(IF(0=LEN(ReferenceData!$D$12),"",ReferenceData!$D$12),"")</f>
        <v/>
      </c>
      <c r="E12" t="str">
        <f>IFERROR(IF(0=LEN(ReferenceData!$E$12),"",ReferenceData!$E$12),"")</f>
        <v>Static</v>
      </c>
      <c r="F12">
        <f ca="1">IFERROR(IF(0=LEN(ReferenceData!$AO$12),"",ReferenceData!$AO$12),"")</f>
        <v>4.5410002589999996</v>
      </c>
      <c r="G12">
        <f ca="1">IFERROR(IF(0=LEN(ReferenceData!$AN$12),"",ReferenceData!$AN$12),"")</f>
        <v>45.500001760000004</v>
      </c>
      <c r="H12">
        <f ca="1">IFERROR(IF(0=LEN(ReferenceData!$AM$12),"",ReferenceData!$AM$12),"")</f>
        <v>8.9999970719999993</v>
      </c>
      <c r="I12">
        <f ca="1">IFERROR(IF(0=LEN(ReferenceData!$AL$12),"",ReferenceData!$AL$12),"")</f>
        <v>24.499995389999999</v>
      </c>
      <c r="J12">
        <f ca="1">IFERROR(IF(0=LEN(ReferenceData!$AK$12),"",ReferenceData!$AK$12),"")</f>
        <v>53.856852089999997</v>
      </c>
      <c r="K12">
        <f ca="1">IFERROR(IF(0=LEN(ReferenceData!$AJ$12),"",ReferenceData!$AJ$12),"")</f>
        <v>153.49996340000001</v>
      </c>
      <c r="L12">
        <f ca="1">IFERROR(IF(0=LEN(ReferenceData!$AI$12),"",ReferenceData!$AI$12),"")</f>
        <v>74.124998230000003</v>
      </c>
      <c r="M12">
        <f ca="1">IFERROR(IF(0=LEN(ReferenceData!$AH$12),"",ReferenceData!$AH$12),"")</f>
        <v>44.899994309999997</v>
      </c>
      <c r="N12">
        <f ca="1">IFERROR(IF(0=LEN(ReferenceData!$AG$12),"",ReferenceData!$AG$12),"")</f>
        <v>31.924992809999999</v>
      </c>
      <c r="O12">
        <f ca="1">IFERROR(IF(0=LEN(ReferenceData!$AF$12),"",ReferenceData!$AF$12),"")</f>
        <v>77.000005180000002</v>
      </c>
      <c r="P12">
        <f ca="1">IFERROR(IF(0=LEN(ReferenceData!$AE$12),"",ReferenceData!$AE$12),"")</f>
        <v>68.100003509999993</v>
      </c>
      <c r="Q12">
        <f ca="1">IFERROR(IF(0=LEN(ReferenceData!$AD$12),"",ReferenceData!$AD$12),"")</f>
        <v>23.00000253</v>
      </c>
      <c r="R12">
        <f ca="1">IFERROR(IF(0=LEN(ReferenceData!$AC$12),"",ReferenceData!$AC$12),"")</f>
        <v>25.942996449999999</v>
      </c>
      <c r="S12">
        <f ca="1">IFERROR(IF(0=LEN(ReferenceData!$AB$12),"",ReferenceData!$AB$12),"")</f>
        <v>50.699978739999999</v>
      </c>
      <c r="T12">
        <f ca="1">IFERROR(IF(0=LEN(ReferenceData!$AA$12),"",ReferenceData!$AA$12),"")</f>
        <v>1.2499998409999999</v>
      </c>
      <c r="U12">
        <f ca="1">IFERROR(IF(0=LEN(ReferenceData!$Z$12),"",ReferenceData!$Z$12),"")</f>
        <v>26.749998120000001</v>
      </c>
      <c r="V12">
        <f ca="1">IFERROR(IF(0=LEN(ReferenceData!$Y$12),"",ReferenceData!$Y$12),"")</f>
        <v>35.897000730000002</v>
      </c>
      <c r="W12">
        <f ca="1">IFERROR(IF(0=LEN(ReferenceData!$X$12),"",ReferenceData!$X$12),"")</f>
        <v>154.94015429999999</v>
      </c>
      <c r="X12">
        <f ca="1">IFERROR(IF(0=LEN(ReferenceData!$W$12),"",ReferenceData!$W$12),"")</f>
        <v>77.049988619999993</v>
      </c>
      <c r="Y12">
        <f ca="1">IFERROR(IF(0=LEN(ReferenceData!$V$12),"",ReferenceData!$V$12),"")</f>
        <v>40.250003200000002</v>
      </c>
      <c r="Z12">
        <f ca="1">IFERROR(IF(0=LEN(ReferenceData!$U$12),"",ReferenceData!$U$12),"")</f>
        <v>33.40499981</v>
      </c>
      <c r="AA12">
        <f ca="1">IFERROR(IF(0=LEN(ReferenceData!$T$12),"",ReferenceData!$T$12),"")</f>
        <v>129.00001209999999</v>
      </c>
      <c r="AB12">
        <f ca="1">IFERROR(IF(0=LEN(ReferenceData!$S$12),"",ReferenceData!$S$12),"")</f>
        <v>34.257262490000002</v>
      </c>
      <c r="AC12">
        <f ca="1">IFERROR(IF(0=LEN(ReferenceData!$R$12),"",ReferenceData!$R$12),"")</f>
        <v>9.8030002599999992</v>
      </c>
      <c r="AD12">
        <f ca="1">IFERROR(IF(0=LEN(ReferenceData!$Q$12),"",ReferenceData!$Q$12),"")</f>
        <v>30.150000160000001</v>
      </c>
      <c r="AE12">
        <f ca="1">IFERROR(IF(0=LEN(ReferenceData!$P$12),"",ReferenceData!$P$12),"")</f>
        <v>94.500015750000003</v>
      </c>
      <c r="AF12">
        <f ca="1">IFERROR(IF(0=LEN(ReferenceData!$O$12),"",ReferenceData!$O$12),"")</f>
        <v>36.94</v>
      </c>
      <c r="AG12">
        <f ca="1">IFERROR(IF(0=LEN(ReferenceData!$N$12),"",ReferenceData!$N$12),"")</f>
        <v>21.04</v>
      </c>
      <c r="AH12">
        <f ca="1">IFERROR(IF(0=LEN(ReferenceData!$M$12),"",ReferenceData!$M$12),"")</f>
        <v>40.416699999999999</v>
      </c>
      <c r="AI12">
        <f ca="1">IFERROR(IF(0=LEN(ReferenceData!$L$12),"",ReferenceData!$L$12),"")</f>
        <v>134.44999999999999</v>
      </c>
      <c r="AJ12">
        <f ca="1">IFERROR(IF(0=LEN(ReferenceData!$K$12),"",ReferenceData!$K$12),"")</f>
        <v>136.21</v>
      </c>
      <c r="AK12">
        <f ca="1">IFERROR(IF(0=LEN(ReferenceData!$J$12),"",ReferenceData!$J$12),"")</f>
        <v>22.780884</v>
      </c>
      <c r="AL12">
        <f ca="1">IFERROR(IF(0=LEN(ReferenceData!$I$12),"",ReferenceData!$I$12),"")</f>
        <v>61.75</v>
      </c>
      <c r="AM12">
        <f ca="1">IFERROR(IF(0=LEN(ReferenceData!$H$12),"",ReferenceData!$H$12),"")</f>
        <v>136.05000000000001</v>
      </c>
      <c r="AN12">
        <f ca="1">IFERROR(IF(0=LEN(ReferenceData!$G$12),"",ReferenceData!$G$12),"")</f>
        <v>93.813000000000002</v>
      </c>
      <c r="AO12">
        <f ca="1">IFERROR(IF(0=LEN(ReferenceData!$F$12),"",ReferenceData!$F$12),"")</f>
        <v>19.7</v>
      </c>
    </row>
    <row r="13" spans="1:41" x14ac:dyDescent="0.25">
      <c r="A13" t="str">
        <f>IFERROR(IF(0=LEN(ReferenceData!$A$13),"",ReferenceData!$A$13),"")</f>
        <v xml:space="preserve">    Materials</v>
      </c>
      <c r="B13" t="str">
        <f>IFERROR(IF(0=LEN(ReferenceData!$B$13),"",ReferenceData!$B$13),"")</f>
        <v/>
      </c>
      <c r="C13" t="str">
        <f>IFERROR(IF(0=LEN(ReferenceData!$C$13),"",ReferenceData!$C$13),"")</f>
        <v/>
      </c>
      <c r="D13" t="str">
        <f>IFERROR(IF(0=LEN(ReferenceData!$D$13),"",ReferenceData!$D$13),"")</f>
        <v/>
      </c>
      <c r="E13" t="str">
        <f>IFERROR(IF(0=LEN(ReferenceData!$E$13),"",ReferenceData!$E$13),"")</f>
        <v>Static</v>
      </c>
      <c r="F13">
        <f ca="1">IFERROR(IF(0=LEN(ReferenceData!$AO$13),"",ReferenceData!$AO$13),"")</f>
        <v>2.5106210839999998</v>
      </c>
      <c r="G13">
        <f ca="1">IFERROR(IF(0=LEN(ReferenceData!$AN$13),"",ReferenceData!$AN$13),"")</f>
        <v>3.2880974040000002</v>
      </c>
      <c r="H13" t="str">
        <f ca="1">IFERROR(IF(0=LEN(ReferenceData!$AM$13),"",ReferenceData!$AM$13),"")</f>
        <v/>
      </c>
      <c r="I13">
        <f ca="1">IFERROR(IF(0=LEN(ReferenceData!$AL$13),"",ReferenceData!$AL$13),"")</f>
        <v>6.8000009690000001</v>
      </c>
      <c r="J13">
        <f ca="1">IFERROR(IF(0=LEN(ReferenceData!$AK$13),"",ReferenceData!$AK$13),"")</f>
        <v>2</v>
      </c>
      <c r="K13">
        <f ca="1">IFERROR(IF(0=LEN(ReferenceData!$AJ$13),"",ReferenceData!$AJ$13),"")</f>
        <v>6.9405880690000004</v>
      </c>
      <c r="L13">
        <f ca="1">IFERROR(IF(0=LEN(ReferenceData!$AI$13),"",ReferenceData!$AI$13),"")</f>
        <v>2.0000003199999998</v>
      </c>
      <c r="M13">
        <f ca="1">IFERROR(IF(0=LEN(ReferenceData!$AH$13),"",ReferenceData!$AH$13),"")</f>
        <v>6.1999995639999996</v>
      </c>
      <c r="N13">
        <f ca="1">IFERROR(IF(0=LEN(ReferenceData!$AG$13),"",ReferenceData!$AG$13),"")</f>
        <v>9.5390006679999999</v>
      </c>
      <c r="O13">
        <f ca="1">IFERROR(IF(0=LEN(ReferenceData!$AF$13),"",ReferenceData!$AF$13),"")</f>
        <v>7.2024998719999997</v>
      </c>
      <c r="P13">
        <f ca="1">IFERROR(IF(0=LEN(ReferenceData!$AE$13),"",ReferenceData!$AE$13),"")</f>
        <v>0.50000007999999996</v>
      </c>
      <c r="Q13">
        <f ca="1">IFERROR(IF(0=LEN(ReferenceData!$AD$13),"",ReferenceData!$AD$13),"")</f>
        <v>1.0000001599999999</v>
      </c>
      <c r="R13" t="str">
        <f ca="1">IFERROR(IF(0=LEN(ReferenceData!$AC$13),"",ReferenceData!$AC$13),"")</f>
        <v/>
      </c>
      <c r="S13" t="str">
        <f ca="1">IFERROR(IF(0=LEN(ReferenceData!$AB$13),"",ReferenceData!$AB$13),"")</f>
        <v/>
      </c>
      <c r="T13">
        <f ca="1">IFERROR(IF(0=LEN(ReferenceData!$AA$13),"",ReferenceData!$AA$13),"")</f>
        <v>0.50000006500000005</v>
      </c>
      <c r="U13">
        <f ca="1">IFERROR(IF(0=LEN(ReferenceData!$Z$13),"",ReferenceData!$Z$13),"")</f>
        <v>0.15000004</v>
      </c>
      <c r="V13">
        <f ca="1">IFERROR(IF(0=LEN(ReferenceData!$Y$13),"",ReferenceData!$Y$13),"")</f>
        <v>18.520999750000001</v>
      </c>
      <c r="W13">
        <f ca="1">IFERROR(IF(0=LEN(ReferenceData!$X$13),"",ReferenceData!$X$13),"")</f>
        <v>6.8295919749999996</v>
      </c>
      <c r="X13">
        <f ca="1">IFERROR(IF(0=LEN(ReferenceData!$W$13),"",ReferenceData!$W$13),"")</f>
        <v>4.9000001119999999</v>
      </c>
      <c r="Y13">
        <f ca="1">IFERROR(IF(0=LEN(ReferenceData!$V$13),"",ReferenceData!$V$13),"")</f>
        <v>13.0000009</v>
      </c>
      <c r="Z13">
        <f ca="1">IFERROR(IF(0=LEN(ReferenceData!$U$13),"",ReferenceData!$U$13),"")</f>
        <v>13.200000190000001</v>
      </c>
      <c r="AA13">
        <f ca="1">IFERROR(IF(0=LEN(ReferenceData!$T$13),"",ReferenceData!$T$13),"")</f>
        <v>10.05287495</v>
      </c>
      <c r="AB13">
        <f ca="1">IFERROR(IF(0=LEN(ReferenceData!$S$13),"",ReferenceData!$S$13),"")</f>
        <v>6.4000003850000002</v>
      </c>
      <c r="AC13">
        <f ca="1">IFERROR(IF(0=LEN(ReferenceData!$R$13),"",ReferenceData!$R$13),"")</f>
        <v>10.813498989999999</v>
      </c>
      <c r="AD13">
        <f ca="1">IFERROR(IF(0=LEN(ReferenceData!$Q$13),"",ReferenceData!$Q$13),"")</f>
        <v>0.1</v>
      </c>
      <c r="AE13">
        <f ca="1">IFERROR(IF(0=LEN(ReferenceData!$P$13),"",ReferenceData!$P$13),"")</f>
        <v>7.0941001029999997</v>
      </c>
      <c r="AF13">
        <f ca="1">IFERROR(IF(0=LEN(ReferenceData!$O$13),"",ReferenceData!$O$13),"")</f>
        <v>2</v>
      </c>
      <c r="AG13">
        <f ca="1">IFERROR(IF(0=LEN(ReferenceData!$N$13),"",ReferenceData!$N$13),"")</f>
        <v>16.5</v>
      </c>
      <c r="AH13">
        <f ca="1">IFERROR(IF(0=LEN(ReferenceData!$M$13),"",ReferenceData!$M$13),"")</f>
        <v>2.5</v>
      </c>
      <c r="AI13">
        <f ca="1">IFERROR(IF(0=LEN(ReferenceData!$L$13),"",ReferenceData!$L$13),"")</f>
        <v>8.6162817500000006</v>
      </c>
      <c r="AJ13">
        <f ca="1">IFERROR(IF(0=LEN(ReferenceData!$K$13),"",ReferenceData!$K$13),"")</f>
        <v>1.623</v>
      </c>
      <c r="AK13">
        <f ca="1">IFERROR(IF(0=LEN(ReferenceData!$J$13),"",ReferenceData!$J$13),"")</f>
        <v>5</v>
      </c>
      <c r="AL13">
        <f ca="1">IFERROR(IF(0=LEN(ReferenceData!$I$13),"",ReferenceData!$I$13),"")</f>
        <v>3.7132000000000001</v>
      </c>
      <c r="AM13">
        <f ca="1">IFERROR(IF(0=LEN(ReferenceData!$H$13),"",ReferenceData!$H$13),"")</f>
        <v>4.9107915289999999</v>
      </c>
      <c r="AN13">
        <f ca="1">IFERROR(IF(0=LEN(ReferenceData!$G$13),"",ReferenceData!$G$13),"")</f>
        <v>3.5</v>
      </c>
      <c r="AO13">
        <f ca="1">IFERROR(IF(0=LEN(ReferenceData!$F$13),"",ReferenceData!$F$13),"")</f>
        <v>2</v>
      </c>
    </row>
    <row r="14" spans="1:41" x14ac:dyDescent="0.25">
      <c r="A14" t="str">
        <f>IFERROR(IF(0=LEN(ReferenceData!$A$14),"",ReferenceData!$A$14),"")</f>
        <v xml:space="preserve">    Real Estate</v>
      </c>
      <c r="B14" t="str">
        <f>IFERROR(IF(0=LEN(ReferenceData!$B$14),"",ReferenceData!$B$14),"")</f>
        <v/>
      </c>
      <c r="C14" t="str">
        <f>IFERROR(IF(0=LEN(ReferenceData!$C$14),"",ReferenceData!$C$14),"")</f>
        <v/>
      </c>
      <c r="D14" t="str">
        <f>IFERROR(IF(0=LEN(ReferenceData!$D$14),"",ReferenceData!$D$14),"")</f>
        <v/>
      </c>
      <c r="E14" t="str">
        <f>IFERROR(IF(0=LEN(ReferenceData!$E$14),"",ReferenceData!$E$14),"")</f>
        <v>Static</v>
      </c>
      <c r="F14">
        <f ca="1">IFERROR(IF(0=LEN(ReferenceData!$AO$14),"",ReferenceData!$AO$14),"")</f>
        <v>1.0000001599999999</v>
      </c>
      <c r="G14" t="str">
        <f ca="1">IFERROR(IF(0=LEN(ReferenceData!$AN$14),"",ReferenceData!$AN$14),"")</f>
        <v/>
      </c>
      <c r="H14" t="str">
        <f ca="1">IFERROR(IF(0=LEN(ReferenceData!$AM$14),"",ReferenceData!$AM$14),"")</f>
        <v/>
      </c>
      <c r="I14">
        <f ca="1">IFERROR(IF(0=LEN(ReferenceData!$AL$14),"",ReferenceData!$AL$14),"")</f>
        <v>2.9000004650000002</v>
      </c>
      <c r="J14">
        <f ca="1">IFERROR(IF(0=LEN(ReferenceData!$AK$14),"",ReferenceData!$AK$14),"")</f>
        <v>1.5500002399999999</v>
      </c>
      <c r="K14">
        <f ca="1">IFERROR(IF(0=LEN(ReferenceData!$AJ$14),"",ReferenceData!$AJ$14),"")</f>
        <v>0.50000006500000005</v>
      </c>
      <c r="L14" t="str">
        <f ca="1">IFERROR(IF(0=LEN(ReferenceData!$AI$14),"",ReferenceData!$AI$14),"")</f>
        <v/>
      </c>
      <c r="M14">
        <f ca="1">IFERROR(IF(0=LEN(ReferenceData!$AH$14),"",ReferenceData!$AH$14),"")</f>
        <v>0.50000006500000005</v>
      </c>
      <c r="N14">
        <f ca="1">IFERROR(IF(0=LEN(ReferenceData!$AG$14),"",ReferenceData!$AG$14),"")</f>
        <v>3.0500003200000001</v>
      </c>
      <c r="O14" t="str">
        <f ca="1">IFERROR(IF(0=LEN(ReferenceData!$AF$14),"",ReferenceData!$AF$14),"")</f>
        <v/>
      </c>
      <c r="P14">
        <f ca="1">IFERROR(IF(0=LEN(ReferenceData!$AE$14),"",ReferenceData!$AE$14),"")</f>
        <v>1.60000016</v>
      </c>
      <c r="Q14">
        <f ca="1">IFERROR(IF(0=LEN(ReferenceData!$AD$14),"",ReferenceData!$AD$14),"")</f>
        <v>0.60000006500000003</v>
      </c>
      <c r="R14">
        <f ca="1">IFERROR(IF(0=LEN(ReferenceData!$AC$14),"",ReferenceData!$AC$14),"")</f>
        <v>0.25000003999999998</v>
      </c>
      <c r="S14">
        <f ca="1">IFERROR(IF(0=LEN(ReferenceData!$AB$14),"",ReferenceData!$AB$14),"")</f>
        <v>1.0000001599999999</v>
      </c>
      <c r="T14">
        <f ca="1">IFERROR(IF(0=LEN(ReferenceData!$AA$14),"",ReferenceData!$AA$14),"")</f>
        <v>0.50000007999999996</v>
      </c>
      <c r="U14">
        <f ca="1">IFERROR(IF(0=LEN(ReferenceData!$Z$14),"",ReferenceData!$Z$14),"")</f>
        <v>1.9000001449999999</v>
      </c>
      <c r="V14">
        <f ca="1">IFERROR(IF(0=LEN(ReferenceData!$Y$14),"",ReferenceData!$Y$14),"")</f>
        <v>0.25000003999999998</v>
      </c>
      <c r="W14" t="str">
        <f ca="1">IFERROR(IF(0=LEN(ReferenceData!$X$14),"",ReferenceData!$X$14),"")</f>
        <v/>
      </c>
      <c r="X14">
        <f ca="1">IFERROR(IF(0=LEN(ReferenceData!$W$14),"",ReferenceData!$W$14),"")</f>
        <v>1</v>
      </c>
      <c r="Y14">
        <f ca="1">IFERROR(IF(0=LEN(ReferenceData!$V$14),"",ReferenceData!$V$14),"")</f>
        <v>3.0000004800000002</v>
      </c>
      <c r="Z14" t="str">
        <f ca="1">IFERROR(IF(0=LEN(ReferenceData!$U$14),"",ReferenceData!$U$14),"")</f>
        <v/>
      </c>
      <c r="AA14">
        <f ca="1">IFERROR(IF(0=LEN(ReferenceData!$T$14),"",ReferenceData!$T$14),"")</f>
        <v>2</v>
      </c>
      <c r="AB14">
        <f ca="1">IFERROR(IF(0=LEN(ReferenceData!$S$14),"",ReferenceData!$S$14),"")</f>
        <v>3.1290002600000002</v>
      </c>
      <c r="AC14">
        <f ca="1">IFERROR(IF(0=LEN(ReferenceData!$R$14),"",ReferenceData!$R$14),"")</f>
        <v>3.5</v>
      </c>
      <c r="AD14">
        <f ca="1">IFERROR(IF(0=LEN(ReferenceData!$Q$14),"",ReferenceData!$Q$14),"")</f>
        <v>0.25</v>
      </c>
      <c r="AE14" t="str">
        <f ca="1">IFERROR(IF(0=LEN(ReferenceData!$P$14),"",ReferenceData!$P$14),"")</f>
        <v/>
      </c>
      <c r="AF14" t="str">
        <f ca="1">IFERROR(IF(0=LEN(ReferenceData!$O$14),"",ReferenceData!$O$14),"")</f>
        <v/>
      </c>
      <c r="AG14" t="str">
        <f ca="1">IFERROR(IF(0=LEN(ReferenceData!$N$14),"",ReferenceData!$N$14),"")</f>
        <v/>
      </c>
      <c r="AH14">
        <f ca="1">IFERROR(IF(0=LEN(ReferenceData!$M$14),"",ReferenceData!$M$14),"")</f>
        <v>2.7709000000000001</v>
      </c>
      <c r="AI14" t="str">
        <f ca="1">IFERROR(IF(0=LEN(ReferenceData!$L$14),"",ReferenceData!$L$14),"")</f>
        <v/>
      </c>
      <c r="AJ14">
        <f ca="1">IFERROR(IF(0=LEN(ReferenceData!$K$14),"",ReferenceData!$K$14),"")</f>
        <v>0.75</v>
      </c>
      <c r="AK14">
        <f ca="1">IFERROR(IF(0=LEN(ReferenceData!$J$14),"",ReferenceData!$J$14),"")</f>
        <v>5.5</v>
      </c>
      <c r="AL14">
        <f ca="1">IFERROR(IF(0=LEN(ReferenceData!$I$14),"",ReferenceData!$I$14),"")</f>
        <v>5.5</v>
      </c>
      <c r="AM14">
        <f ca="1">IFERROR(IF(0=LEN(ReferenceData!$H$14),"",ReferenceData!$H$14),"")</f>
        <v>2.8</v>
      </c>
      <c r="AN14" t="str">
        <f ca="1">IFERROR(IF(0=LEN(ReferenceData!$G$14),"",ReferenceData!$G$14),"")</f>
        <v/>
      </c>
      <c r="AO14">
        <f ca="1">IFERROR(IF(0=LEN(ReferenceData!$F$14),"",ReferenceData!$F$14),"")</f>
        <v>2.75</v>
      </c>
    </row>
    <row r="15" spans="1:41" x14ac:dyDescent="0.25">
      <c r="A15" t="str">
        <f>IFERROR(IF(0=LEN(ReferenceData!$A$15),"",ReferenceData!$A$15),"")</f>
        <v xml:space="preserve">    Utilities</v>
      </c>
      <c r="B15" t="str">
        <f>IFERROR(IF(0=LEN(ReferenceData!$B$15),"",ReferenceData!$B$15),"")</f>
        <v/>
      </c>
      <c r="C15" t="str">
        <f>IFERROR(IF(0=LEN(ReferenceData!$C$15),"",ReferenceData!$C$15),"")</f>
        <v/>
      </c>
      <c r="D15" t="str">
        <f>IFERROR(IF(0=LEN(ReferenceData!$D$15),"",ReferenceData!$D$15),"")</f>
        <v/>
      </c>
      <c r="E15" t="str">
        <f>IFERROR(IF(0=LEN(ReferenceData!$E$15),"",ReferenceData!$E$15),"")</f>
        <v>Static</v>
      </c>
      <c r="F15" t="str">
        <f ca="1">IFERROR(IF(0=LEN(ReferenceData!$AO$15),"",ReferenceData!$AO$15),"")</f>
        <v/>
      </c>
      <c r="G15">
        <f ca="1">IFERROR(IF(0=LEN(ReferenceData!$AN$15),"",ReferenceData!$AN$15),"")</f>
        <v>5.9868013299999996</v>
      </c>
      <c r="H15" t="str">
        <f ca="1">IFERROR(IF(0=LEN(ReferenceData!$AM$15),"",ReferenceData!$AM$15),"")</f>
        <v/>
      </c>
      <c r="I15" t="str">
        <f ca="1">IFERROR(IF(0=LEN(ReferenceData!$AL$15),"",ReferenceData!$AL$15),"")</f>
        <v/>
      </c>
      <c r="J15">
        <f ca="1">IFERROR(IF(0=LEN(ReferenceData!$AK$15),"",ReferenceData!$AK$15),"")</f>
        <v>1.0000001599999999</v>
      </c>
      <c r="K15" t="str">
        <f ca="1">IFERROR(IF(0=LEN(ReferenceData!$AJ$15),"",ReferenceData!$AJ$15),"")</f>
        <v/>
      </c>
      <c r="L15">
        <f ca="1">IFERROR(IF(0=LEN(ReferenceData!$AI$15),"",ReferenceData!$AI$15),"")</f>
        <v>3.3654000000000002</v>
      </c>
      <c r="M15" t="str">
        <f ca="1">IFERROR(IF(0=LEN(ReferenceData!$AH$15),"",ReferenceData!$AH$15),"")</f>
        <v/>
      </c>
      <c r="N15">
        <f ca="1">IFERROR(IF(0=LEN(ReferenceData!$AG$15),"",ReferenceData!$AG$15),"")</f>
        <v>1.0000001300000001</v>
      </c>
      <c r="O15" t="str">
        <f ca="1">IFERROR(IF(0=LEN(ReferenceData!$AF$15),"",ReferenceData!$AF$15),"")</f>
        <v/>
      </c>
      <c r="P15">
        <f ca="1">IFERROR(IF(0=LEN(ReferenceData!$AE$15),"",ReferenceData!$AE$15),"")</f>
        <v>0.25000003300000001</v>
      </c>
      <c r="Q15" t="str">
        <f ca="1">IFERROR(IF(0=LEN(ReferenceData!$AD$15),"",ReferenceData!$AD$15),"")</f>
        <v/>
      </c>
      <c r="R15" t="str">
        <f ca="1">IFERROR(IF(0=LEN(ReferenceData!$AC$15),"",ReferenceData!$AC$15),"")</f>
        <v/>
      </c>
      <c r="S15" t="str">
        <f ca="1">IFERROR(IF(0=LEN(ReferenceData!$AB$15),"",ReferenceData!$AB$15),"")</f>
        <v/>
      </c>
      <c r="T15">
        <f ca="1">IFERROR(IF(0=LEN(ReferenceData!$AA$15),"",ReferenceData!$AA$15),"")</f>
        <v>4.9999994240000003</v>
      </c>
      <c r="U15">
        <f ca="1">IFERROR(IF(0=LEN(ReferenceData!$Z$15),"",ReferenceData!$Z$15),"")</f>
        <v>1.0000001300000001</v>
      </c>
      <c r="V15" t="str">
        <f ca="1">IFERROR(IF(0=LEN(ReferenceData!$Y$15),"",ReferenceData!$Y$15),"")</f>
        <v/>
      </c>
      <c r="W15" t="str">
        <f ca="1">IFERROR(IF(0=LEN(ReferenceData!$X$15),"",ReferenceData!$X$15),"")</f>
        <v/>
      </c>
      <c r="X15">
        <f ca="1">IFERROR(IF(0=LEN(ReferenceData!$W$15),"",ReferenceData!$W$15),"")</f>
        <v>0.50000007999999996</v>
      </c>
      <c r="Y15">
        <f ca="1">IFERROR(IF(0=LEN(ReferenceData!$V$15),"",ReferenceData!$V$15),"")</f>
        <v>1.5</v>
      </c>
      <c r="Z15" t="str">
        <f ca="1">IFERROR(IF(0=LEN(ReferenceData!$U$15),"",ReferenceData!$U$15),"")</f>
        <v/>
      </c>
      <c r="AA15" t="str">
        <f ca="1">IFERROR(IF(0=LEN(ReferenceData!$T$15),"",ReferenceData!$T$15),"")</f>
        <v/>
      </c>
      <c r="AB15" t="str">
        <f ca="1">IFERROR(IF(0=LEN(ReferenceData!$S$15),"",ReferenceData!$S$15),"")</f>
        <v/>
      </c>
      <c r="AC15" t="str">
        <f ca="1">IFERROR(IF(0=LEN(ReferenceData!$R$15),"",ReferenceData!$R$15),"")</f>
        <v/>
      </c>
      <c r="AD15">
        <f ca="1">IFERROR(IF(0=LEN(ReferenceData!$Q$15),"",ReferenceData!$Q$15),"")</f>
        <v>1</v>
      </c>
      <c r="AE15">
        <f ca="1">IFERROR(IF(0=LEN(ReferenceData!$P$15),"",ReferenceData!$P$15),"")</f>
        <v>1.7</v>
      </c>
      <c r="AF15" t="str">
        <f ca="1">IFERROR(IF(0=LEN(ReferenceData!$O$15),"",ReferenceData!$O$15),"")</f>
        <v/>
      </c>
      <c r="AG15">
        <f ca="1">IFERROR(IF(0=LEN(ReferenceData!$N$15),"",ReferenceData!$N$15),"")</f>
        <v>1.95</v>
      </c>
      <c r="AH15">
        <f ca="1">IFERROR(IF(0=LEN(ReferenceData!$M$15),"",ReferenceData!$M$15),"")</f>
        <v>0.35399999999999998</v>
      </c>
      <c r="AI15">
        <f ca="1">IFERROR(IF(0=LEN(ReferenceData!$L$15),"",ReferenceData!$L$15),"")</f>
        <v>1</v>
      </c>
      <c r="AJ15">
        <f ca="1">IFERROR(IF(0=LEN(ReferenceData!$K$15),"",ReferenceData!$K$15),"")</f>
        <v>0.70499999999999996</v>
      </c>
      <c r="AK15">
        <f ca="1">IFERROR(IF(0=LEN(ReferenceData!$J$15),"",ReferenceData!$J$15),"")</f>
        <v>2</v>
      </c>
      <c r="AL15">
        <f ca="1">IFERROR(IF(0=LEN(ReferenceData!$I$15),"",ReferenceData!$I$15),"")</f>
        <v>7.4999999999999997E-2</v>
      </c>
      <c r="AM15" t="str">
        <f ca="1">IFERROR(IF(0=LEN(ReferenceData!$H$15),"",ReferenceData!$H$15),"")</f>
        <v/>
      </c>
      <c r="AN15">
        <f ca="1">IFERROR(IF(0=LEN(ReferenceData!$G$15),"",ReferenceData!$G$15),"")</f>
        <v>0.40400000000000003</v>
      </c>
      <c r="AO15">
        <f ca="1">IFERROR(IF(0=LEN(ReferenceData!$F$15),"",ReferenceData!$F$15),"")</f>
        <v>4</v>
      </c>
    </row>
    <row r="16" spans="1:41" x14ac:dyDescent="0.25">
      <c r="A16" t="str">
        <f>IFERROR(IF(0=LEN(ReferenceData!$A$16),"",ReferenceData!$A$16),"")</f>
        <v>Buyback Program Announcements</v>
      </c>
      <c r="B16" t="str">
        <f>IFERROR(IF(0=LEN(ReferenceData!$B$16),"",ReferenceData!$B$16),"")</f>
        <v/>
      </c>
      <c r="C16" t="str">
        <f>IFERROR(IF(0=LEN(ReferenceData!$C$16),"",ReferenceData!$C$16),"")</f>
        <v/>
      </c>
      <c r="D16" t="str">
        <f>IFERROR(IF(0=LEN(ReferenceData!$D$16),"",ReferenceData!$D$16),"")</f>
        <v/>
      </c>
      <c r="E16" t="str">
        <f>IFERROR(IF(0=LEN(ReferenceData!$E$16),"",ReferenceData!$E$16),"")</f>
        <v>Static</v>
      </c>
      <c r="F16">
        <f ca="1">IFERROR(IF(0=LEN(ReferenceData!$AO$16),"",ReferenceData!$AO$16),"")</f>
        <v>41</v>
      </c>
      <c r="G16">
        <f ca="1">IFERROR(IF(0=LEN(ReferenceData!$AN$16),"",ReferenceData!$AN$16),"")</f>
        <v>55</v>
      </c>
      <c r="H16">
        <f ca="1">IFERROR(IF(0=LEN(ReferenceData!$AM$16),"",ReferenceData!$AM$16),"")</f>
        <v>27</v>
      </c>
      <c r="I16">
        <f ca="1">IFERROR(IF(0=LEN(ReferenceData!$AL$16),"",ReferenceData!$AL$16),"")</f>
        <v>50</v>
      </c>
      <c r="J16">
        <f ca="1">IFERROR(IF(0=LEN(ReferenceData!$AK$16),"",ReferenceData!$AK$16),"")</f>
        <v>64</v>
      </c>
      <c r="K16">
        <f ca="1">IFERROR(IF(0=LEN(ReferenceData!$AJ$16),"",ReferenceData!$AJ$16),"")</f>
        <v>80</v>
      </c>
      <c r="L16">
        <f ca="1">IFERROR(IF(0=LEN(ReferenceData!$AI$16),"",ReferenceData!$AI$16),"")</f>
        <v>42</v>
      </c>
      <c r="M16">
        <f ca="1">IFERROR(IF(0=LEN(ReferenceData!$AH$16),"",ReferenceData!$AH$16),"")</f>
        <v>63</v>
      </c>
      <c r="N16">
        <f ca="1">IFERROR(IF(0=LEN(ReferenceData!$AG$16),"",ReferenceData!$AG$16),"")</f>
        <v>65</v>
      </c>
      <c r="O16">
        <f ca="1">IFERROR(IF(0=LEN(ReferenceData!$AF$16),"",ReferenceData!$AF$16),"")</f>
        <v>41</v>
      </c>
      <c r="P16">
        <f ca="1">IFERROR(IF(0=LEN(ReferenceData!$AE$16),"",ReferenceData!$AE$16),"")</f>
        <v>42</v>
      </c>
      <c r="Q16">
        <f ca="1">IFERROR(IF(0=LEN(ReferenceData!$AD$16),"",ReferenceData!$AD$16),"")</f>
        <v>47</v>
      </c>
      <c r="R16">
        <f ca="1">IFERROR(IF(0=LEN(ReferenceData!$AC$16),"",ReferenceData!$AC$16),"")</f>
        <v>44</v>
      </c>
      <c r="S16">
        <f ca="1">IFERROR(IF(0=LEN(ReferenceData!$AB$16),"",ReferenceData!$AB$16),"")</f>
        <v>8</v>
      </c>
      <c r="T16">
        <f ca="1">IFERROR(IF(0=LEN(ReferenceData!$AA$16),"",ReferenceData!$AA$16),"")</f>
        <v>18</v>
      </c>
      <c r="U16">
        <f ca="1">IFERROR(IF(0=LEN(ReferenceData!$Z$16),"",ReferenceData!$Z$16),"")</f>
        <v>49</v>
      </c>
      <c r="V16">
        <f ca="1">IFERROR(IF(0=LEN(ReferenceData!$Y$16),"",ReferenceData!$Y$16),"")</f>
        <v>73</v>
      </c>
      <c r="W16">
        <f ca="1">IFERROR(IF(0=LEN(ReferenceData!$X$16),"",ReferenceData!$X$16),"")</f>
        <v>62</v>
      </c>
      <c r="X16">
        <f ca="1">IFERROR(IF(0=LEN(ReferenceData!$W$16),"",ReferenceData!$W$16),"")</f>
        <v>62</v>
      </c>
      <c r="Y16">
        <f ca="1">IFERROR(IF(0=LEN(ReferenceData!$V$16),"",ReferenceData!$V$16),"")</f>
        <v>70</v>
      </c>
      <c r="Z16">
        <f ca="1">IFERROR(IF(0=LEN(ReferenceData!$U$16),"",ReferenceData!$U$16),"")</f>
        <v>82</v>
      </c>
      <c r="AA16">
        <f ca="1">IFERROR(IF(0=LEN(ReferenceData!$T$16),"",ReferenceData!$T$16),"")</f>
        <v>57</v>
      </c>
      <c r="AB16">
        <f ca="1">IFERROR(IF(0=LEN(ReferenceData!$S$16),"",ReferenceData!$S$16),"")</f>
        <v>54</v>
      </c>
      <c r="AC16">
        <f ca="1">IFERROR(IF(0=LEN(ReferenceData!$R$16),"",ReferenceData!$R$16),"")</f>
        <v>55</v>
      </c>
      <c r="AD16">
        <f ca="1">IFERROR(IF(0=LEN(ReferenceData!$Q$16),"",ReferenceData!$Q$16),"")</f>
        <v>59</v>
      </c>
      <c r="AE16">
        <f ca="1">IFERROR(IF(0=LEN(ReferenceData!$P$16),"",ReferenceData!$P$16),"")</f>
        <v>37</v>
      </c>
      <c r="AF16">
        <f ca="1">IFERROR(IF(0=LEN(ReferenceData!$O$16),"",ReferenceData!$O$16),"")</f>
        <v>29</v>
      </c>
      <c r="AG16">
        <f ca="1">IFERROR(IF(0=LEN(ReferenceData!$N$16),"",ReferenceData!$N$16),"")</f>
        <v>58</v>
      </c>
      <c r="AH16">
        <f ca="1">IFERROR(IF(0=LEN(ReferenceData!$M$16),"",ReferenceData!$M$16),"")</f>
        <v>72</v>
      </c>
      <c r="AI16">
        <f ca="1">IFERROR(IF(0=LEN(ReferenceData!$L$16),"",ReferenceData!$L$16),"")</f>
        <v>49</v>
      </c>
      <c r="AJ16">
        <f ca="1">IFERROR(IF(0=LEN(ReferenceData!$K$16),"",ReferenceData!$K$16),"")</f>
        <v>61</v>
      </c>
      <c r="AK16">
        <f ca="1">IFERROR(IF(0=LEN(ReferenceData!$J$16),"",ReferenceData!$J$16),"")</f>
        <v>77</v>
      </c>
      <c r="AL16">
        <f ca="1">IFERROR(IF(0=LEN(ReferenceData!$I$16),"",ReferenceData!$I$16),"")</f>
        <v>68</v>
      </c>
      <c r="AM16">
        <f ca="1">IFERROR(IF(0=LEN(ReferenceData!$H$16),"",ReferenceData!$H$16),"")</f>
        <v>63</v>
      </c>
      <c r="AN16">
        <f ca="1">IFERROR(IF(0=LEN(ReferenceData!$G$16),"",ReferenceData!$G$16),"")</f>
        <v>57</v>
      </c>
      <c r="AO16">
        <f ca="1">IFERROR(IF(0=LEN(ReferenceData!$F$16),"",ReferenceData!$F$16),"")</f>
        <v>68</v>
      </c>
    </row>
    <row r="17" spans="1:41" x14ac:dyDescent="0.25">
      <c r="A17" t="str">
        <f>IFERROR(IF(0=LEN(ReferenceData!$A$17),"",ReferenceData!$A$17),"")</f>
        <v xml:space="preserve">    Increased</v>
      </c>
      <c r="B17" t="str">
        <f>IFERROR(IF(0=LEN(ReferenceData!$B$17),"",ReferenceData!$B$17),"")</f>
        <v/>
      </c>
      <c r="C17" t="str">
        <f>IFERROR(IF(0=LEN(ReferenceData!$C$17),"",ReferenceData!$C$17),"")</f>
        <v/>
      </c>
      <c r="D17" t="str">
        <f>IFERROR(IF(0=LEN(ReferenceData!$D$17),"",ReferenceData!$D$17),"")</f>
        <v/>
      </c>
      <c r="E17" t="str">
        <f>IFERROR(IF(0=LEN(ReferenceData!$E$17),"",ReferenceData!$E$17),"")</f>
        <v>Static</v>
      </c>
      <c r="F17" t="str">
        <f ca="1">IFERROR(IF(0=LEN(ReferenceData!$AO$17),"",ReferenceData!$AO$17),"")</f>
        <v/>
      </c>
      <c r="G17">
        <f ca="1">IFERROR(IF(0=LEN(ReferenceData!$AN$17),"",ReferenceData!$AN$17),"")</f>
        <v>2</v>
      </c>
      <c r="H17" t="str">
        <f ca="1">IFERROR(IF(0=LEN(ReferenceData!$AM$17),"",ReferenceData!$AM$17),"")</f>
        <v/>
      </c>
      <c r="I17">
        <f ca="1">IFERROR(IF(0=LEN(ReferenceData!$AL$17),"",ReferenceData!$AL$17),"")</f>
        <v>4</v>
      </c>
      <c r="J17">
        <f ca="1">IFERROR(IF(0=LEN(ReferenceData!$AK$17),"",ReferenceData!$AK$17),"")</f>
        <v>11</v>
      </c>
      <c r="K17">
        <f ca="1">IFERROR(IF(0=LEN(ReferenceData!$AJ$17),"",ReferenceData!$AJ$17),"")</f>
        <v>26</v>
      </c>
      <c r="L17">
        <f ca="1">IFERROR(IF(0=LEN(ReferenceData!$AI$17),"",ReferenceData!$AI$17),"")</f>
        <v>15</v>
      </c>
      <c r="M17">
        <f ca="1">IFERROR(IF(0=LEN(ReferenceData!$AH$17),"",ReferenceData!$AH$17),"")</f>
        <v>20</v>
      </c>
      <c r="N17">
        <f ca="1">IFERROR(IF(0=LEN(ReferenceData!$AG$17),"",ReferenceData!$AG$17),"")</f>
        <v>19</v>
      </c>
      <c r="O17">
        <f ca="1">IFERROR(IF(0=LEN(ReferenceData!$AF$17),"",ReferenceData!$AF$17),"")</f>
        <v>15</v>
      </c>
      <c r="P17">
        <f ca="1">IFERROR(IF(0=LEN(ReferenceData!$AE$17),"",ReferenceData!$AE$17),"")</f>
        <v>12</v>
      </c>
      <c r="Q17">
        <f ca="1">IFERROR(IF(0=LEN(ReferenceData!$AD$17),"",ReferenceData!$AD$17),"")</f>
        <v>16</v>
      </c>
      <c r="R17">
        <f ca="1">IFERROR(IF(0=LEN(ReferenceData!$AC$17),"",ReferenceData!$AC$17),"")</f>
        <v>19</v>
      </c>
      <c r="S17">
        <f ca="1">IFERROR(IF(0=LEN(ReferenceData!$AB$17),"",ReferenceData!$AB$17),"")</f>
        <v>2</v>
      </c>
      <c r="T17">
        <f ca="1">IFERROR(IF(0=LEN(ReferenceData!$AA$17),"",ReferenceData!$AA$17),"")</f>
        <v>6</v>
      </c>
      <c r="U17">
        <f ca="1">IFERROR(IF(0=LEN(ReferenceData!$Z$17),"",ReferenceData!$Z$17),"")</f>
        <v>22</v>
      </c>
      <c r="V17">
        <f ca="1">IFERROR(IF(0=LEN(ReferenceData!$Y$17),"",ReferenceData!$Y$17),"")</f>
        <v>22</v>
      </c>
      <c r="W17">
        <f ca="1">IFERROR(IF(0=LEN(ReferenceData!$X$17),"",ReferenceData!$X$17),"")</f>
        <v>33</v>
      </c>
      <c r="X17">
        <f ca="1">IFERROR(IF(0=LEN(ReferenceData!$W$17),"",ReferenceData!$W$17),"")</f>
        <v>34</v>
      </c>
      <c r="Y17">
        <f ca="1">IFERROR(IF(0=LEN(ReferenceData!$V$17),"",ReferenceData!$V$17),"")</f>
        <v>45</v>
      </c>
      <c r="Z17">
        <f ca="1">IFERROR(IF(0=LEN(ReferenceData!$U$17),"",ReferenceData!$U$17),"")</f>
        <v>39</v>
      </c>
      <c r="AA17">
        <f ca="1">IFERROR(IF(0=LEN(ReferenceData!$T$17),"",ReferenceData!$T$17),"")</f>
        <v>25</v>
      </c>
      <c r="AB17">
        <f ca="1">IFERROR(IF(0=LEN(ReferenceData!$S$17),"",ReferenceData!$S$17),"")</f>
        <v>20</v>
      </c>
      <c r="AC17">
        <f ca="1">IFERROR(IF(0=LEN(ReferenceData!$R$17),"",ReferenceData!$R$17),"")</f>
        <v>26</v>
      </c>
      <c r="AD17">
        <f ca="1">IFERROR(IF(0=LEN(ReferenceData!$Q$17),"",ReferenceData!$Q$17),"")</f>
        <v>22</v>
      </c>
      <c r="AE17">
        <f ca="1">IFERROR(IF(0=LEN(ReferenceData!$P$17),"",ReferenceData!$P$17),"")</f>
        <v>15</v>
      </c>
      <c r="AF17">
        <f ca="1">IFERROR(IF(0=LEN(ReferenceData!$O$17),"",ReferenceData!$O$17),"")</f>
        <v>16</v>
      </c>
      <c r="AG17">
        <f ca="1">IFERROR(IF(0=LEN(ReferenceData!$N$17),"",ReferenceData!$N$17),"")</f>
        <v>26</v>
      </c>
      <c r="AH17">
        <f ca="1">IFERROR(IF(0=LEN(ReferenceData!$M$17),"",ReferenceData!$M$17),"")</f>
        <v>21</v>
      </c>
      <c r="AI17">
        <f ca="1">IFERROR(IF(0=LEN(ReferenceData!$L$17),"",ReferenceData!$L$17),"")</f>
        <v>19</v>
      </c>
      <c r="AJ17">
        <f ca="1">IFERROR(IF(0=LEN(ReferenceData!$K$17),"",ReferenceData!$K$17),"")</f>
        <v>27</v>
      </c>
      <c r="AK17">
        <f ca="1">IFERROR(IF(0=LEN(ReferenceData!$J$17),"",ReferenceData!$J$17),"")</f>
        <v>39</v>
      </c>
      <c r="AL17">
        <f ca="1">IFERROR(IF(0=LEN(ReferenceData!$I$17),"",ReferenceData!$I$17),"")</f>
        <v>20</v>
      </c>
      <c r="AM17">
        <f ca="1">IFERROR(IF(0=LEN(ReferenceData!$H$17),"",ReferenceData!$H$17),"")</f>
        <v>28</v>
      </c>
      <c r="AN17">
        <f ca="1">IFERROR(IF(0=LEN(ReferenceData!$G$17),"",ReferenceData!$G$17),"")</f>
        <v>30</v>
      </c>
      <c r="AO17">
        <f ca="1">IFERROR(IF(0=LEN(ReferenceData!$F$17),"",ReferenceData!$F$17),"")</f>
        <v>32</v>
      </c>
    </row>
    <row r="18" spans="1:41" x14ac:dyDescent="0.25">
      <c r="A18" t="str">
        <f>IFERROR(IF(0=LEN(ReferenceData!$A$18),"",ReferenceData!$A$18),"")</f>
        <v xml:space="preserve">    Decreased</v>
      </c>
      <c r="B18" t="str">
        <f>IFERROR(IF(0=LEN(ReferenceData!$B$18),"",ReferenceData!$B$18),"")</f>
        <v/>
      </c>
      <c r="C18" t="str">
        <f>IFERROR(IF(0=LEN(ReferenceData!$C$18),"",ReferenceData!$C$18),"")</f>
        <v/>
      </c>
      <c r="D18" t="str">
        <f>IFERROR(IF(0=LEN(ReferenceData!$D$18),"",ReferenceData!$D$18),"")</f>
        <v/>
      </c>
      <c r="E18" t="str">
        <f>IFERROR(IF(0=LEN(ReferenceData!$E$18),"",ReferenceData!$E$18),"")</f>
        <v>Static</v>
      </c>
      <c r="F18" t="str">
        <f ca="1">IFERROR(IF(0=LEN(ReferenceData!$AO$18),"",ReferenceData!$AO$18),"")</f>
        <v/>
      </c>
      <c r="G18">
        <f ca="1">IFERROR(IF(0=LEN(ReferenceData!$AN$18),"",ReferenceData!$AN$18),"")</f>
        <v>1</v>
      </c>
      <c r="H18">
        <f ca="1">IFERROR(IF(0=LEN(ReferenceData!$AM$18),"",ReferenceData!$AM$18),"")</f>
        <v>2</v>
      </c>
      <c r="I18">
        <f ca="1">IFERROR(IF(0=LEN(ReferenceData!$AL$18),"",ReferenceData!$AL$18),"")</f>
        <v>4</v>
      </c>
      <c r="J18">
        <f ca="1">IFERROR(IF(0=LEN(ReferenceData!$AK$18),"",ReferenceData!$AK$18),"")</f>
        <v>7</v>
      </c>
      <c r="K18">
        <f ca="1">IFERROR(IF(0=LEN(ReferenceData!$AJ$18),"",ReferenceData!$AJ$18),"")</f>
        <v>16</v>
      </c>
      <c r="L18">
        <f ca="1">IFERROR(IF(0=LEN(ReferenceData!$AI$18),"",ReferenceData!$AI$18),"")</f>
        <v>4</v>
      </c>
      <c r="M18">
        <f ca="1">IFERROR(IF(0=LEN(ReferenceData!$AH$18),"",ReferenceData!$AH$18),"")</f>
        <v>11</v>
      </c>
      <c r="N18">
        <f ca="1">IFERROR(IF(0=LEN(ReferenceData!$AG$18),"",ReferenceData!$AG$18),"")</f>
        <v>17</v>
      </c>
      <c r="O18">
        <f ca="1">IFERROR(IF(0=LEN(ReferenceData!$AF$18),"",ReferenceData!$AF$18),"")</f>
        <v>10</v>
      </c>
      <c r="P18">
        <f ca="1">IFERROR(IF(0=LEN(ReferenceData!$AE$18),"",ReferenceData!$AE$18),"")</f>
        <v>15</v>
      </c>
      <c r="Q18">
        <f ca="1">IFERROR(IF(0=LEN(ReferenceData!$AD$18),"",ReferenceData!$AD$18),"")</f>
        <v>11</v>
      </c>
      <c r="R18">
        <f ca="1">IFERROR(IF(0=LEN(ReferenceData!$AC$18),"",ReferenceData!$AC$18),"")</f>
        <v>9</v>
      </c>
      <c r="S18">
        <f ca="1">IFERROR(IF(0=LEN(ReferenceData!$AB$18),"",ReferenceData!$AB$18),"")</f>
        <v>2</v>
      </c>
      <c r="T18">
        <f ca="1">IFERROR(IF(0=LEN(ReferenceData!$AA$18),"",ReferenceData!$AA$18),"")</f>
        <v>5</v>
      </c>
      <c r="U18">
        <f ca="1">IFERROR(IF(0=LEN(ReferenceData!$Z$18),"",ReferenceData!$Z$18),"")</f>
        <v>14</v>
      </c>
      <c r="V18">
        <f ca="1">IFERROR(IF(0=LEN(ReferenceData!$Y$18),"",ReferenceData!$Y$18),"")</f>
        <v>28</v>
      </c>
      <c r="W18">
        <f ca="1">IFERROR(IF(0=LEN(ReferenceData!$X$18),"",ReferenceData!$X$18),"")</f>
        <v>13</v>
      </c>
      <c r="X18">
        <f ca="1">IFERROR(IF(0=LEN(ReferenceData!$W$18),"",ReferenceData!$W$18),"")</f>
        <v>9</v>
      </c>
      <c r="Y18">
        <f ca="1">IFERROR(IF(0=LEN(ReferenceData!$V$18),"",ReferenceData!$V$18),"")</f>
        <v>10</v>
      </c>
      <c r="Z18">
        <f ca="1">IFERROR(IF(0=LEN(ReferenceData!$U$18),"",ReferenceData!$U$18),"")</f>
        <v>27</v>
      </c>
      <c r="AA18">
        <f ca="1">IFERROR(IF(0=LEN(ReferenceData!$T$18),"",ReferenceData!$T$18),"")</f>
        <v>14</v>
      </c>
      <c r="AB18">
        <f ca="1">IFERROR(IF(0=LEN(ReferenceData!$S$18),"",ReferenceData!$S$18),"")</f>
        <v>16</v>
      </c>
      <c r="AC18">
        <f ca="1">IFERROR(IF(0=LEN(ReferenceData!$R$18),"",ReferenceData!$R$18),"")</f>
        <v>15</v>
      </c>
      <c r="AD18">
        <f ca="1">IFERROR(IF(0=LEN(ReferenceData!$Q$18),"",ReferenceData!$Q$18),"")</f>
        <v>20</v>
      </c>
      <c r="AE18">
        <f ca="1">IFERROR(IF(0=LEN(ReferenceData!$P$18),"",ReferenceData!$P$18),"")</f>
        <v>11</v>
      </c>
      <c r="AF18">
        <f ca="1">IFERROR(IF(0=LEN(ReferenceData!$O$18),"",ReferenceData!$O$18),"")</f>
        <v>9</v>
      </c>
      <c r="AG18">
        <f ca="1">IFERROR(IF(0=LEN(ReferenceData!$N$18),"",ReferenceData!$N$18),"")</f>
        <v>15</v>
      </c>
      <c r="AH18">
        <f ca="1">IFERROR(IF(0=LEN(ReferenceData!$M$18),"",ReferenceData!$M$18),"")</f>
        <v>30</v>
      </c>
      <c r="AI18">
        <f ca="1">IFERROR(IF(0=LEN(ReferenceData!$L$18),"",ReferenceData!$L$18),"")</f>
        <v>15</v>
      </c>
      <c r="AJ18">
        <f ca="1">IFERROR(IF(0=LEN(ReferenceData!$K$18),"",ReferenceData!$K$18),"")</f>
        <v>13</v>
      </c>
      <c r="AK18">
        <f ca="1">IFERROR(IF(0=LEN(ReferenceData!$J$18),"",ReferenceData!$J$18),"")</f>
        <v>14</v>
      </c>
      <c r="AL18">
        <f ca="1">IFERROR(IF(0=LEN(ReferenceData!$I$18),"",ReferenceData!$I$18),"")</f>
        <v>25</v>
      </c>
      <c r="AM18">
        <f ca="1">IFERROR(IF(0=LEN(ReferenceData!$H$18),"",ReferenceData!$H$18),"")</f>
        <v>10</v>
      </c>
      <c r="AN18">
        <f ca="1">IFERROR(IF(0=LEN(ReferenceData!$G$18),"",ReferenceData!$G$18),"")</f>
        <v>13</v>
      </c>
      <c r="AO18">
        <f ca="1">IFERROR(IF(0=LEN(ReferenceData!$F$18),"",ReferenceData!$F$18),"")</f>
        <v>12</v>
      </c>
    </row>
    <row r="19" spans="1:41" x14ac:dyDescent="0.25">
      <c r="A19" t="str">
        <f>IFERROR(IF(0=LEN(ReferenceData!$A$19),"",ReferenceData!$A$19),"")</f>
        <v xml:space="preserve">    Neutral</v>
      </c>
      <c r="B19" t="str">
        <f>IFERROR(IF(0=LEN(ReferenceData!$B$19),"",ReferenceData!$B$19),"")</f>
        <v/>
      </c>
      <c r="C19" t="str">
        <f>IFERROR(IF(0=LEN(ReferenceData!$C$19),"",ReferenceData!$C$19),"")</f>
        <v/>
      </c>
      <c r="D19" t="str">
        <f>IFERROR(IF(0=LEN(ReferenceData!$D$19),"",ReferenceData!$D$19),"")</f>
        <v/>
      </c>
      <c r="E19" t="str">
        <f>IFERROR(IF(0=LEN(ReferenceData!$E$19),"",ReferenceData!$E$19),"")</f>
        <v>Static</v>
      </c>
      <c r="F19" t="str">
        <f ca="1">IFERROR(IF(0=LEN(ReferenceData!$AO$19),"",ReferenceData!$AO$19),"")</f>
        <v/>
      </c>
      <c r="G19" t="str">
        <f ca="1">IFERROR(IF(0=LEN(ReferenceData!$AN$19),"",ReferenceData!$AN$19),"")</f>
        <v/>
      </c>
      <c r="H19">
        <f ca="1">IFERROR(IF(0=LEN(ReferenceData!$AM$19),"",ReferenceData!$AM$19),"")</f>
        <v>2</v>
      </c>
      <c r="I19">
        <f ca="1">IFERROR(IF(0=LEN(ReferenceData!$AL$19),"",ReferenceData!$AL$19),"")</f>
        <v>2</v>
      </c>
      <c r="J19">
        <f ca="1">IFERROR(IF(0=LEN(ReferenceData!$AK$19),"",ReferenceData!$AK$19),"")</f>
        <v>6</v>
      </c>
      <c r="K19">
        <f ca="1">IFERROR(IF(0=LEN(ReferenceData!$AJ$19),"",ReferenceData!$AJ$19),"")</f>
        <v>7</v>
      </c>
      <c r="L19">
        <f ca="1">IFERROR(IF(0=LEN(ReferenceData!$AI$19),"",ReferenceData!$AI$19),"")</f>
        <v>2</v>
      </c>
      <c r="M19">
        <f ca="1">IFERROR(IF(0=LEN(ReferenceData!$AH$19),"",ReferenceData!$AH$19),"")</f>
        <v>9</v>
      </c>
      <c r="N19">
        <f ca="1">IFERROR(IF(0=LEN(ReferenceData!$AG$19),"",ReferenceData!$AG$19),"")</f>
        <v>10</v>
      </c>
      <c r="O19">
        <f ca="1">IFERROR(IF(0=LEN(ReferenceData!$AF$19),"",ReferenceData!$AF$19),"")</f>
        <v>6</v>
      </c>
      <c r="P19">
        <f ca="1">IFERROR(IF(0=LEN(ReferenceData!$AE$19),"",ReferenceData!$AE$19),"")</f>
        <v>7</v>
      </c>
      <c r="Q19">
        <f ca="1">IFERROR(IF(0=LEN(ReferenceData!$AD$19),"",ReferenceData!$AD$19),"")</f>
        <v>8</v>
      </c>
      <c r="R19">
        <f ca="1">IFERROR(IF(0=LEN(ReferenceData!$AC$19),"",ReferenceData!$AC$19),"")</f>
        <v>7</v>
      </c>
      <c r="S19">
        <f ca="1">IFERROR(IF(0=LEN(ReferenceData!$AB$19),"",ReferenceData!$AB$19),"")</f>
        <v>1</v>
      </c>
      <c r="T19">
        <f ca="1">IFERROR(IF(0=LEN(ReferenceData!$AA$19),"",ReferenceData!$AA$19),"")</f>
        <v>3</v>
      </c>
      <c r="U19">
        <f ca="1">IFERROR(IF(0=LEN(ReferenceData!$Z$19),"",ReferenceData!$Z$19),"")</f>
        <v>8</v>
      </c>
      <c r="V19">
        <f ca="1">IFERROR(IF(0=LEN(ReferenceData!$Y$19),"",ReferenceData!$Y$19),"")</f>
        <v>13</v>
      </c>
      <c r="W19">
        <f ca="1">IFERROR(IF(0=LEN(ReferenceData!$X$19),"",ReferenceData!$X$19),"")</f>
        <v>6</v>
      </c>
      <c r="X19">
        <f ca="1">IFERROR(IF(0=LEN(ReferenceData!$W$19),"",ReferenceData!$W$19),"")</f>
        <v>6</v>
      </c>
      <c r="Y19">
        <f ca="1">IFERROR(IF(0=LEN(ReferenceData!$V$19),"",ReferenceData!$V$19),"")</f>
        <v>5</v>
      </c>
      <c r="Z19">
        <f ca="1">IFERROR(IF(0=LEN(ReferenceData!$U$19),"",ReferenceData!$U$19),"")</f>
        <v>4</v>
      </c>
      <c r="AA19">
        <f ca="1">IFERROR(IF(0=LEN(ReferenceData!$T$19),"",ReferenceData!$T$19),"")</f>
        <v>13</v>
      </c>
      <c r="AB19">
        <f ca="1">IFERROR(IF(0=LEN(ReferenceData!$S$19),"",ReferenceData!$S$19),"")</f>
        <v>9</v>
      </c>
      <c r="AC19">
        <f ca="1">IFERROR(IF(0=LEN(ReferenceData!$R$19),"",ReferenceData!$R$19),"")</f>
        <v>11</v>
      </c>
      <c r="AD19">
        <f ca="1">IFERROR(IF(0=LEN(ReferenceData!$Q$19),"",ReferenceData!$Q$19),"")</f>
        <v>13</v>
      </c>
      <c r="AE19">
        <f ca="1">IFERROR(IF(0=LEN(ReferenceData!$P$19),"",ReferenceData!$P$19),"")</f>
        <v>10</v>
      </c>
      <c r="AF19">
        <f ca="1">IFERROR(IF(0=LEN(ReferenceData!$O$19),"",ReferenceData!$O$19),"")</f>
        <v>4</v>
      </c>
      <c r="AG19">
        <f ca="1">IFERROR(IF(0=LEN(ReferenceData!$N$19),"",ReferenceData!$N$19),"")</f>
        <v>13</v>
      </c>
      <c r="AH19">
        <f ca="1">IFERROR(IF(0=LEN(ReferenceData!$M$19),"",ReferenceData!$M$19),"")</f>
        <v>17</v>
      </c>
      <c r="AI19">
        <f ca="1">IFERROR(IF(0=LEN(ReferenceData!$L$19),"",ReferenceData!$L$19),"")</f>
        <v>11</v>
      </c>
      <c r="AJ19">
        <f ca="1">IFERROR(IF(0=LEN(ReferenceData!$K$19),"",ReferenceData!$K$19),"")</f>
        <v>16</v>
      </c>
      <c r="AK19">
        <f ca="1">IFERROR(IF(0=LEN(ReferenceData!$J$19),"",ReferenceData!$J$19),"")</f>
        <v>17</v>
      </c>
      <c r="AL19">
        <f ca="1">IFERROR(IF(0=LEN(ReferenceData!$I$19),"",ReferenceData!$I$19),"")</f>
        <v>19</v>
      </c>
      <c r="AM19">
        <f ca="1">IFERROR(IF(0=LEN(ReferenceData!$H$19),"",ReferenceData!$H$19),"")</f>
        <v>19</v>
      </c>
      <c r="AN19">
        <f ca="1">IFERROR(IF(0=LEN(ReferenceData!$G$19),"",ReferenceData!$G$19),"")</f>
        <v>12</v>
      </c>
      <c r="AO19">
        <f ca="1">IFERROR(IF(0=LEN(ReferenceData!$F$19),"",ReferenceData!$F$19),"")</f>
        <v>19</v>
      </c>
    </row>
    <row r="20" spans="1:41" x14ac:dyDescent="0.25">
      <c r="A20" t="str">
        <f>IFERROR(IF(0=LEN(ReferenceData!$A$20),"",ReferenceData!$A$20),"")</f>
        <v xml:space="preserve">    New Buyback Programs</v>
      </c>
      <c r="B20" t="str">
        <f>IFERROR(IF(0=LEN(ReferenceData!$B$20),"",ReferenceData!$B$20),"")</f>
        <v/>
      </c>
      <c r="C20" t="str">
        <f>IFERROR(IF(0=LEN(ReferenceData!$C$20),"",ReferenceData!$C$20),"")</f>
        <v/>
      </c>
      <c r="D20" t="str">
        <f>IFERROR(IF(0=LEN(ReferenceData!$D$20),"",ReferenceData!$D$20),"")</f>
        <v/>
      </c>
      <c r="E20" t="str">
        <f>IFERROR(IF(0=LEN(ReferenceData!$E$20),"",ReferenceData!$E$20),"")</f>
        <v>Static</v>
      </c>
      <c r="F20">
        <f ca="1">IFERROR(IF(0=LEN(ReferenceData!$AO$20),"",ReferenceData!$AO$20),"")</f>
        <v>39</v>
      </c>
      <c r="G20">
        <f ca="1">IFERROR(IF(0=LEN(ReferenceData!$AN$20),"",ReferenceData!$AN$20),"")</f>
        <v>50</v>
      </c>
      <c r="H20">
        <f ca="1">IFERROR(IF(0=LEN(ReferenceData!$AM$20),"",ReferenceData!$AM$20),"")</f>
        <v>22</v>
      </c>
      <c r="I20">
        <f ca="1">IFERROR(IF(0=LEN(ReferenceData!$AL$20),"",ReferenceData!$AL$20),"")</f>
        <v>38</v>
      </c>
      <c r="J20">
        <f ca="1">IFERROR(IF(0=LEN(ReferenceData!$AK$20),"",ReferenceData!$AK$20),"")</f>
        <v>35</v>
      </c>
      <c r="K20">
        <f ca="1">IFERROR(IF(0=LEN(ReferenceData!$AJ$20),"",ReferenceData!$AJ$20),"")</f>
        <v>28</v>
      </c>
      <c r="L20">
        <f ca="1">IFERROR(IF(0=LEN(ReferenceData!$AI$20),"",ReferenceData!$AI$20),"")</f>
        <v>21</v>
      </c>
      <c r="M20">
        <f ca="1">IFERROR(IF(0=LEN(ReferenceData!$AH$20),"",ReferenceData!$AH$20),"")</f>
        <v>22</v>
      </c>
      <c r="N20">
        <f ca="1">IFERROR(IF(0=LEN(ReferenceData!$AG$20),"",ReferenceData!$AG$20),"")</f>
        <v>17</v>
      </c>
      <c r="O20">
        <f ca="1">IFERROR(IF(0=LEN(ReferenceData!$AF$20),"",ReferenceData!$AF$20),"")</f>
        <v>9</v>
      </c>
      <c r="P20">
        <f ca="1">IFERROR(IF(0=LEN(ReferenceData!$AE$20),"",ReferenceData!$AE$20),"")</f>
        <v>7</v>
      </c>
      <c r="Q20">
        <f ca="1">IFERROR(IF(0=LEN(ReferenceData!$AD$20),"",ReferenceData!$AD$20),"")</f>
        <v>9</v>
      </c>
      <c r="R20">
        <f ca="1">IFERROR(IF(0=LEN(ReferenceData!$AC$20),"",ReferenceData!$AC$20),"")</f>
        <v>8</v>
      </c>
      <c r="S20">
        <f ca="1">IFERROR(IF(0=LEN(ReferenceData!$AB$20),"",ReferenceData!$AB$20),"")</f>
        <v>2</v>
      </c>
      <c r="T20">
        <f ca="1">IFERROR(IF(0=LEN(ReferenceData!$AA$20),"",ReferenceData!$AA$20),"")</f>
        <v>4</v>
      </c>
      <c r="U20">
        <f ca="1">IFERROR(IF(0=LEN(ReferenceData!$Z$20),"",ReferenceData!$Z$20),"")</f>
        <v>5</v>
      </c>
      <c r="V20">
        <f ca="1">IFERROR(IF(0=LEN(ReferenceData!$Y$20),"",ReferenceData!$Y$20),"")</f>
        <v>6</v>
      </c>
      <c r="W20">
        <f ca="1">IFERROR(IF(0=LEN(ReferenceData!$X$20),"",ReferenceData!$X$20),"")</f>
        <v>6</v>
      </c>
      <c r="X20">
        <f ca="1">IFERROR(IF(0=LEN(ReferenceData!$W$20),"",ReferenceData!$W$20),"")</f>
        <v>10</v>
      </c>
      <c r="Y20">
        <f ca="1">IFERROR(IF(0=LEN(ReferenceData!$V$20),"",ReferenceData!$V$20),"")</f>
        <v>7</v>
      </c>
      <c r="Z20">
        <f ca="1">IFERROR(IF(0=LEN(ReferenceData!$U$20),"",ReferenceData!$U$20),"")</f>
        <v>9</v>
      </c>
      <c r="AA20">
        <f ca="1">IFERROR(IF(0=LEN(ReferenceData!$T$20),"",ReferenceData!$T$20),"")</f>
        <v>4</v>
      </c>
      <c r="AB20">
        <f ca="1">IFERROR(IF(0=LEN(ReferenceData!$S$20),"",ReferenceData!$S$20),"")</f>
        <v>4</v>
      </c>
      <c r="AC20">
        <f ca="1">IFERROR(IF(0=LEN(ReferenceData!$R$20),"",ReferenceData!$R$20),"")</f>
        <v>3</v>
      </c>
      <c r="AD20">
        <f ca="1">IFERROR(IF(0=LEN(ReferenceData!$Q$20),"",ReferenceData!$Q$20),"")</f>
        <v>2</v>
      </c>
      <c r="AE20">
        <f ca="1">IFERROR(IF(0=LEN(ReferenceData!$P$20),"",ReferenceData!$P$20),"")</f>
        <v>1</v>
      </c>
      <c r="AF20" t="str">
        <f ca="1">IFERROR(IF(0=LEN(ReferenceData!$O$20),"",ReferenceData!$O$20),"")</f>
        <v/>
      </c>
      <c r="AG20">
        <f ca="1">IFERROR(IF(0=LEN(ReferenceData!$N$20),"",ReferenceData!$N$20),"")</f>
        <v>4</v>
      </c>
      <c r="AH20">
        <f ca="1">IFERROR(IF(0=LEN(ReferenceData!$M$20),"",ReferenceData!$M$20),"")</f>
        <v>4</v>
      </c>
      <c r="AI20">
        <f ca="1">IFERROR(IF(0=LEN(ReferenceData!$L$20),"",ReferenceData!$L$20),"")</f>
        <v>4</v>
      </c>
      <c r="AJ20">
        <f ca="1">IFERROR(IF(0=LEN(ReferenceData!$K$20),"",ReferenceData!$K$20),"")</f>
        <v>5</v>
      </c>
      <c r="AK20">
        <f ca="1">IFERROR(IF(0=LEN(ReferenceData!$J$20),"",ReferenceData!$J$20),"")</f>
        <v>7</v>
      </c>
      <c r="AL20">
        <f ca="1">IFERROR(IF(0=LEN(ReferenceData!$I$20),"",ReferenceData!$I$20),"")</f>
        <v>4</v>
      </c>
      <c r="AM20">
        <f ca="1">IFERROR(IF(0=LEN(ReferenceData!$H$20),"",ReferenceData!$H$20),"")</f>
        <v>6</v>
      </c>
      <c r="AN20">
        <f ca="1">IFERROR(IF(0=LEN(ReferenceData!$G$20),"",ReferenceData!$G$20),"")</f>
        <v>2</v>
      </c>
      <c r="AO20">
        <f ca="1">IFERROR(IF(0=LEN(ReferenceData!$F$20),"",ReferenceData!$F$20),"")</f>
        <v>5</v>
      </c>
    </row>
    <row r="21" spans="1:41" x14ac:dyDescent="0.25">
      <c r="A21" t="str">
        <f>IFERROR(IF(0=LEN(ReferenceData!$A$21),"",ReferenceData!$A$21),"")</f>
        <v xml:space="preserve">    Suspended</v>
      </c>
      <c r="B21" t="str">
        <f>IFERROR(IF(0=LEN(ReferenceData!$B$21),"",ReferenceData!$B$21),"")</f>
        <v/>
      </c>
      <c r="C21" t="str">
        <f>IFERROR(IF(0=LEN(ReferenceData!$C$21),"",ReferenceData!$C$21),"")</f>
        <v/>
      </c>
      <c r="D21" t="str">
        <f>IFERROR(IF(0=LEN(ReferenceData!$D$21),"",ReferenceData!$D$21),"")</f>
        <v/>
      </c>
      <c r="E21" t="str">
        <f>IFERROR(IF(0=LEN(ReferenceData!$E$21),"",ReferenceData!$E$21),"")</f>
        <v>Static</v>
      </c>
      <c r="F21" t="str">
        <f ca="1">IFERROR(IF(0=LEN(ReferenceData!$AO$21),"",ReferenceData!$AO$21),"")</f>
        <v/>
      </c>
      <c r="G21" t="str">
        <f ca="1">IFERROR(IF(0=LEN(ReferenceData!$AN$21),"",ReferenceData!$AN$21),"")</f>
        <v/>
      </c>
      <c r="H21" t="str">
        <f ca="1">IFERROR(IF(0=LEN(ReferenceData!$AM$21),"",ReferenceData!$AM$21),"")</f>
        <v/>
      </c>
      <c r="I21" t="str">
        <f ca="1">IFERROR(IF(0=LEN(ReferenceData!$AL$21),"",ReferenceData!$AL$21),"")</f>
        <v/>
      </c>
      <c r="J21" t="str">
        <f ca="1">IFERROR(IF(0=LEN(ReferenceData!$AK$21),"",ReferenceData!$AK$21),"")</f>
        <v/>
      </c>
      <c r="K21" t="str">
        <f ca="1">IFERROR(IF(0=LEN(ReferenceData!$AJ$21),"",ReferenceData!$AJ$21),"")</f>
        <v/>
      </c>
      <c r="L21" t="str">
        <f ca="1">IFERROR(IF(0=LEN(ReferenceData!$AI$21),"",ReferenceData!$AI$21),"")</f>
        <v/>
      </c>
      <c r="M21" t="str">
        <f ca="1">IFERROR(IF(0=LEN(ReferenceData!$AH$21),"",ReferenceData!$AH$21),"")</f>
        <v/>
      </c>
      <c r="N21" t="str">
        <f ca="1">IFERROR(IF(0=LEN(ReferenceData!$AG$21),"",ReferenceData!$AG$21),"")</f>
        <v/>
      </c>
      <c r="O21" t="str">
        <f ca="1">IFERROR(IF(0=LEN(ReferenceData!$AF$21),"",ReferenceData!$AF$21),"")</f>
        <v/>
      </c>
      <c r="P21" t="str">
        <f ca="1">IFERROR(IF(0=LEN(ReferenceData!$AE$21),"",ReferenceData!$AE$21),"")</f>
        <v/>
      </c>
      <c r="Q21" t="str">
        <f ca="1">IFERROR(IF(0=LEN(ReferenceData!$AD$21),"",ReferenceData!$AD$21),"")</f>
        <v/>
      </c>
      <c r="R21">
        <f ca="1">IFERROR(IF(0=LEN(ReferenceData!$AC$21),"",ReferenceData!$AC$21),"")</f>
        <v>7</v>
      </c>
      <c r="S21">
        <f ca="1">IFERROR(IF(0=LEN(ReferenceData!$AB$21),"",ReferenceData!$AB$21),"")</f>
        <v>48</v>
      </c>
      <c r="T21">
        <f ca="1">IFERROR(IF(0=LEN(ReferenceData!$AA$21),"",ReferenceData!$AA$21),"")</f>
        <v>2</v>
      </c>
      <c r="U21" t="str">
        <f ca="1">IFERROR(IF(0=LEN(ReferenceData!$Z$21),"",ReferenceData!$Z$21),"")</f>
        <v/>
      </c>
      <c r="V21" t="str">
        <f ca="1">IFERROR(IF(0=LEN(ReferenceData!$Y$21),"",ReferenceData!$Y$21),"")</f>
        <v/>
      </c>
      <c r="W21" t="str">
        <f ca="1">IFERROR(IF(0=LEN(ReferenceData!$X$21),"",ReferenceData!$X$21),"")</f>
        <v/>
      </c>
      <c r="X21" t="str">
        <f ca="1">IFERROR(IF(0=LEN(ReferenceData!$W$21),"",ReferenceData!$W$21),"")</f>
        <v/>
      </c>
      <c r="Y21" t="str">
        <f ca="1">IFERROR(IF(0=LEN(ReferenceData!$V$21),"",ReferenceData!$V$21),"")</f>
        <v/>
      </c>
      <c r="Z21" t="str">
        <f ca="1">IFERROR(IF(0=LEN(ReferenceData!$U$21),"",ReferenceData!$U$21),"")</f>
        <v/>
      </c>
      <c r="AA21" t="str">
        <f ca="1">IFERROR(IF(0=LEN(ReferenceData!$T$21),"",ReferenceData!$T$21),"")</f>
        <v/>
      </c>
      <c r="AB21" t="str">
        <f ca="1">IFERROR(IF(0=LEN(ReferenceData!$S$21),"",ReferenceData!$S$21),"")</f>
        <v/>
      </c>
      <c r="AC21" t="str">
        <f ca="1">IFERROR(IF(0=LEN(ReferenceData!$R$21),"",ReferenceData!$R$21),"")</f>
        <v/>
      </c>
      <c r="AD21" t="str">
        <f ca="1">IFERROR(IF(0=LEN(ReferenceData!$Q$21),"",ReferenceData!$Q$21),"")</f>
        <v/>
      </c>
      <c r="AE21" t="str">
        <f ca="1">IFERROR(IF(0=LEN(ReferenceData!$P$21),"",ReferenceData!$P$21),"")</f>
        <v/>
      </c>
      <c r="AF21" t="str">
        <f ca="1">IFERROR(IF(0=LEN(ReferenceData!$O$21),"",ReferenceData!$O$21),"")</f>
        <v/>
      </c>
      <c r="AG21" t="str">
        <f ca="1">IFERROR(IF(0=LEN(ReferenceData!$N$21),"",ReferenceData!$N$21),"")</f>
        <v/>
      </c>
      <c r="AH21" t="str">
        <f ca="1">IFERROR(IF(0=LEN(ReferenceData!$M$21),"",ReferenceData!$M$21),"")</f>
        <v/>
      </c>
      <c r="AI21" t="str">
        <f ca="1">IFERROR(IF(0=LEN(ReferenceData!$L$21),"",ReferenceData!$L$21),"")</f>
        <v/>
      </c>
      <c r="AJ21" t="str">
        <f ca="1">IFERROR(IF(0=LEN(ReferenceData!$K$21),"",ReferenceData!$K$21),"")</f>
        <v/>
      </c>
      <c r="AK21" t="str">
        <f ca="1">IFERROR(IF(0=LEN(ReferenceData!$J$21),"",ReferenceData!$J$21),"")</f>
        <v/>
      </c>
      <c r="AL21" t="str">
        <f ca="1">IFERROR(IF(0=LEN(ReferenceData!$I$21),"",ReferenceData!$I$21),"")</f>
        <v/>
      </c>
      <c r="AM21" t="str">
        <f ca="1">IFERROR(IF(0=LEN(ReferenceData!$H$21),"",ReferenceData!$H$21),"")</f>
        <v/>
      </c>
      <c r="AN21" t="str">
        <f ca="1">IFERROR(IF(0=LEN(ReferenceData!$G$21),"",ReferenceData!$G$21),"")</f>
        <v/>
      </c>
      <c r="AO21" t="str">
        <f ca="1">IFERROR(IF(0=LEN(ReferenceData!$F$21),"",ReferenceData!$F$21),"")</f>
        <v/>
      </c>
    </row>
    <row r="22" spans="1:41" x14ac:dyDescent="0.25">
      <c r="A22" t="str">
        <f>IFERROR(IF(0=LEN(ReferenceData!$A$22),"",ReferenceData!$A$22),"")</f>
        <v>Note: First Time Buyback refers to since 2017Q1</v>
      </c>
      <c r="B22" t="str">
        <f>IFERROR(IF(0=LEN(ReferenceData!$B$22),"",ReferenceData!$B$22),"")</f>
        <v/>
      </c>
      <c r="C22" t="str">
        <f>IFERROR(IF(0=LEN(ReferenceData!$C$22),"",ReferenceData!$C$22),"")</f>
        <v/>
      </c>
      <c r="D22" t="str">
        <f>IFERROR(IF(0=LEN(ReferenceData!$D$22),"",ReferenceData!$D$22),"")</f>
        <v/>
      </c>
      <c r="E22" t="str">
        <f>IFERROR(IF(0=LEN(ReferenceData!$E$22),"",ReferenceData!$E$22),"")</f>
        <v>Heading</v>
      </c>
      <c r="F22" t="str">
        <f>IFERROR(IF(0=LEN(ReferenceData!$AO$22),"",ReferenceData!$AO$22),"")</f>
        <v/>
      </c>
      <c r="G22" t="str">
        <f>IFERROR(IF(0=LEN(ReferenceData!$AN$22),"",ReferenceData!$AN$22),"")</f>
        <v/>
      </c>
      <c r="H22" t="str">
        <f>IFERROR(IF(0=LEN(ReferenceData!$AM$22),"",ReferenceData!$AM$22),"")</f>
        <v/>
      </c>
      <c r="I22" t="str">
        <f>IFERROR(IF(0=LEN(ReferenceData!$AL$22),"",ReferenceData!$AL$22),"")</f>
        <v/>
      </c>
      <c r="J22" t="str">
        <f>IFERROR(IF(0=LEN(ReferenceData!$AK$22),"",ReferenceData!$AK$22),"")</f>
        <v/>
      </c>
      <c r="K22" t="str">
        <f>IFERROR(IF(0=LEN(ReferenceData!$AJ$22),"",ReferenceData!$AJ$22),"")</f>
        <v/>
      </c>
      <c r="L22" t="str">
        <f>IFERROR(IF(0=LEN(ReferenceData!$AI$22),"",ReferenceData!$AI$22),"")</f>
        <v/>
      </c>
      <c r="M22" t="str">
        <f>IFERROR(IF(0=LEN(ReferenceData!$AH$22),"",ReferenceData!$AH$22),"")</f>
        <v/>
      </c>
      <c r="N22" t="str">
        <f>IFERROR(IF(0=LEN(ReferenceData!$AG$22),"",ReferenceData!$AG$22),"")</f>
        <v/>
      </c>
      <c r="O22" t="str">
        <f>IFERROR(IF(0=LEN(ReferenceData!$AF$22),"",ReferenceData!$AF$22),"")</f>
        <v/>
      </c>
      <c r="P22" t="str">
        <f>IFERROR(IF(0=LEN(ReferenceData!$AE$22),"",ReferenceData!$AE$22),"")</f>
        <v/>
      </c>
      <c r="Q22" t="str">
        <f>IFERROR(IF(0=LEN(ReferenceData!$AD$22),"",ReferenceData!$AD$22),"")</f>
        <v/>
      </c>
      <c r="R22" t="str">
        <f>IFERROR(IF(0=LEN(ReferenceData!$AC$22),"",ReferenceData!$AC$22),"")</f>
        <v/>
      </c>
      <c r="S22" t="str">
        <f>IFERROR(IF(0=LEN(ReferenceData!$AB$22),"",ReferenceData!$AB$22),"")</f>
        <v/>
      </c>
      <c r="T22" t="str">
        <f>IFERROR(IF(0=LEN(ReferenceData!$AA$22),"",ReferenceData!$AA$22),"")</f>
        <v/>
      </c>
      <c r="U22" t="str">
        <f>IFERROR(IF(0=LEN(ReferenceData!$Z$22),"",ReferenceData!$Z$22),"")</f>
        <v/>
      </c>
      <c r="V22" t="str">
        <f>IFERROR(IF(0=LEN(ReferenceData!$Y$22),"",ReferenceData!$Y$22),"")</f>
        <v/>
      </c>
      <c r="W22" t="str">
        <f>IFERROR(IF(0=LEN(ReferenceData!$X$22),"",ReferenceData!$X$22),"")</f>
        <v/>
      </c>
      <c r="X22" t="str">
        <f>IFERROR(IF(0=LEN(ReferenceData!$W$22),"",ReferenceData!$W$22),"")</f>
        <v/>
      </c>
      <c r="Y22" t="str">
        <f>IFERROR(IF(0=LEN(ReferenceData!$V$22),"",ReferenceData!$V$22),"")</f>
        <v/>
      </c>
      <c r="Z22" t="str">
        <f>IFERROR(IF(0=LEN(ReferenceData!$U$22),"",ReferenceData!$U$22),"")</f>
        <v/>
      </c>
      <c r="AA22" t="str">
        <f>IFERROR(IF(0=LEN(ReferenceData!$T$22),"",ReferenceData!$T$22),"")</f>
        <v/>
      </c>
      <c r="AB22" t="str">
        <f>IFERROR(IF(0=LEN(ReferenceData!$S$22),"",ReferenceData!$S$22),"")</f>
        <v/>
      </c>
      <c r="AC22" t="str">
        <f>IFERROR(IF(0=LEN(ReferenceData!$R$22),"",ReferenceData!$R$22),"")</f>
        <v/>
      </c>
      <c r="AD22" t="str">
        <f>IFERROR(IF(0=LEN(ReferenceData!$Q$22),"",ReferenceData!$Q$22),"")</f>
        <v/>
      </c>
      <c r="AE22" t="str">
        <f>IFERROR(IF(0=LEN(ReferenceData!$P$22),"",ReferenceData!$P$22),"")</f>
        <v/>
      </c>
      <c r="AF22" t="str">
        <f>IFERROR(IF(0=LEN(ReferenceData!$O$22),"",ReferenceData!$O$22),"")</f>
        <v/>
      </c>
      <c r="AG22" t="str">
        <f>IFERROR(IF(0=LEN(ReferenceData!$N$22),"",ReferenceData!$N$22),"")</f>
        <v/>
      </c>
      <c r="AH22" t="str">
        <f>IFERROR(IF(0=LEN(ReferenceData!$M$22),"",ReferenceData!$M$22),"")</f>
        <v/>
      </c>
      <c r="AI22" t="str">
        <f>IFERROR(IF(0=LEN(ReferenceData!$L$22),"",ReferenceData!$L$22),"")</f>
        <v/>
      </c>
      <c r="AJ22" t="str">
        <f>IFERROR(IF(0=LEN(ReferenceData!$K$22),"",ReferenceData!$K$22),"")</f>
        <v/>
      </c>
      <c r="AK22" t="str">
        <f>IFERROR(IF(0=LEN(ReferenceData!$J$22),"",ReferenceData!$J$22),"")</f>
        <v/>
      </c>
      <c r="AL22" t="str">
        <f>IFERROR(IF(0=LEN(ReferenceData!$I$22),"",ReferenceData!$I$22),"")</f>
        <v/>
      </c>
      <c r="AM22" t="str">
        <f>IFERROR(IF(0=LEN(ReferenceData!$H$22),"",ReferenceData!$H$22),"")</f>
        <v/>
      </c>
      <c r="AN22" t="str">
        <f>IFERROR(IF(0=LEN(ReferenceData!$G$22),"",ReferenceData!$G$22),"")</f>
        <v/>
      </c>
      <c r="AO22" t="str">
        <f>IFERROR(IF(0=LEN(ReferenceData!$F$22),"",ReferenceData!$F$22),"")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41"/>
  <sheetViews>
    <sheetView tabSelected="1" workbookViewId="0">
      <selection activeCell="C3" sqref="C3"/>
    </sheetView>
  </sheetViews>
  <sheetFormatPr defaultRowHeight="15" x14ac:dyDescent="0.25"/>
  <cols>
    <col min="1" max="1" width="56.28515625" customWidth="1"/>
    <col min="2" max="2" width="15.85546875" customWidth="1"/>
    <col min="3" max="77" width="9.140625" bestFit="1" customWidth="1"/>
  </cols>
  <sheetData>
    <row r="1" spans="1: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 x14ac:dyDescent="0.25">
      <c r="A2" s="1" t="str">
        <f>"Description"</f>
        <v>Description</v>
      </c>
      <c r="B2" s="1" t="str">
        <f>"Ticker"</f>
        <v>Ticker</v>
      </c>
      <c r="C2" s="1" t="str">
        <f>"Field ID"</f>
        <v>Field ID</v>
      </c>
      <c r="D2" s="1" t="str">
        <f>"Field Mnemonic"</f>
        <v>Field Mnemonic</v>
      </c>
      <c r="E2" s="1" t="str">
        <f>"Data State"</f>
        <v>Data State</v>
      </c>
      <c r="F2" s="1" t="str">
        <f>ReferenceData!$C$40</f>
        <v>2025 Q4</v>
      </c>
      <c r="G2" s="1" t="str">
        <f>ReferenceData!$D$40</f>
        <v>2025 Q3</v>
      </c>
      <c r="H2" s="1" t="str">
        <f>ReferenceData!$E$40</f>
        <v>2025 Q2</v>
      </c>
      <c r="I2" s="1" t="str">
        <f>ReferenceData!$F$40</f>
        <v>2025 Q1</v>
      </c>
      <c r="J2" s="1" t="str">
        <f>ReferenceData!$G$40</f>
        <v>2024 Q4</v>
      </c>
      <c r="K2" s="1" t="str">
        <f>ReferenceData!$H$40</f>
        <v>2024 Q3</v>
      </c>
      <c r="L2" s="1" t="str">
        <f>ReferenceData!$I$40</f>
        <v>2024 Q2</v>
      </c>
      <c r="M2" s="1" t="str">
        <f>ReferenceData!$J$40</f>
        <v>2024 Q1</v>
      </c>
      <c r="N2" s="1" t="str">
        <f>ReferenceData!$K$40</f>
        <v>2023 Q4</v>
      </c>
      <c r="O2" s="1" t="str">
        <f>ReferenceData!$L$40</f>
        <v>2023 Q3</v>
      </c>
      <c r="P2" s="1" t="str">
        <f>ReferenceData!$M$40</f>
        <v>2023 Q2</v>
      </c>
      <c r="Q2" s="1" t="str">
        <f>ReferenceData!$N$40</f>
        <v>2023 Q1</v>
      </c>
      <c r="R2" s="1" t="str">
        <f>ReferenceData!$O$40</f>
        <v>2022 Q4</v>
      </c>
      <c r="S2" s="1" t="str">
        <f>ReferenceData!$P$40</f>
        <v>2022 Q3</v>
      </c>
      <c r="T2" s="1" t="str">
        <f>ReferenceData!$Q$40</f>
        <v>2022 Q2</v>
      </c>
      <c r="U2" s="1" t="str">
        <f>ReferenceData!$R$40</f>
        <v>2022 Q1</v>
      </c>
      <c r="V2" s="1" t="str">
        <f>ReferenceData!$S$40</f>
        <v>2021 Q4</v>
      </c>
      <c r="W2" s="1" t="str">
        <f>ReferenceData!$T$40</f>
        <v>2021 Q3</v>
      </c>
      <c r="X2" s="1" t="str">
        <f>ReferenceData!$U$40</f>
        <v>2021 Q2</v>
      </c>
      <c r="Y2" s="1" t="str">
        <f>ReferenceData!$V$40</f>
        <v>2021 Q1</v>
      </c>
      <c r="Z2" s="1" t="str">
        <f>ReferenceData!$W$40</f>
        <v>2020 Q4</v>
      </c>
      <c r="AA2" s="1" t="str">
        <f>ReferenceData!$X$40</f>
        <v>2020 Q3</v>
      </c>
      <c r="AB2" s="1" t="str">
        <f>ReferenceData!$Y$40</f>
        <v>2020 Q2</v>
      </c>
      <c r="AC2" s="1" t="str">
        <f>ReferenceData!$Z$40</f>
        <v>2020 Q1</v>
      </c>
      <c r="AD2" s="1" t="str">
        <f>ReferenceData!$AA$40</f>
        <v>2019 Q4</v>
      </c>
      <c r="AE2" s="1" t="str">
        <f>ReferenceData!$AB$40</f>
        <v>2019 Q3</v>
      </c>
      <c r="AF2" s="1" t="str">
        <f>ReferenceData!$AC$40</f>
        <v>2019 Q2</v>
      </c>
      <c r="AG2" s="1" t="str">
        <f>ReferenceData!$AD$40</f>
        <v>2019 Q1</v>
      </c>
      <c r="AH2" s="1" t="str">
        <f>ReferenceData!$AE$40</f>
        <v>2018 Q4</v>
      </c>
      <c r="AI2" s="1" t="str">
        <f>ReferenceData!$AF$40</f>
        <v>2018 Q3</v>
      </c>
      <c r="AJ2" s="1" t="str">
        <f>ReferenceData!$AG$40</f>
        <v>2018 Q2</v>
      </c>
      <c r="AK2" s="1" t="str">
        <f>ReferenceData!$AH$40</f>
        <v>2018 Q1</v>
      </c>
      <c r="AL2" s="1" t="str">
        <f>ReferenceData!$AI$40</f>
        <v>2017 Q4</v>
      </c>
      <c r="AM2" s="1" t="str">
        <f>ReferenceData!$AJ$40</f>
        <v>2017 Q3</v>
      </c>
      <c r="AN2" s="1" t="str">
        <f>ReferenceData!$AK$40</f>
        <v>2017 Q2</v>
      </c>
      <c r="AO2" s="1" t="str">
        <f>ReferenceData!$AL$40</f>
        <v>2017 Q1</v>
      </c>
      <c r="AP2" t="str">
        <f>$C$40</f>
        <v>2025 Q4</v>
      </c>
      <c r="AQ2" t="str">
        <f>$D$40</f>
        <v>2025 Q3</v>
      </c>
      <c r="AR2" t="str">
        <f>$E$40</f>
        <v>2025 Q2</v>
      </c>
      <c r="AS2" t="str">
        <f>$F$40</f>
        <v>2025 Q1</v>
      </c>
      <c r="AT2" t="str">
        <f>$G$40</f>
        <v>2024 Q4</v>
      </c>
      <c r="AU2" t="str">
        <f>$H$40</f>
        <v>2024 Q3</v>
      </c>
      <c r="AV2" t="str">
        <f>$I$40</f>
        <v>2024 Q2</v>
      </c>
      <c r="AW2" t="str">
        <f>$J$40</f>
        <v>2024 Q1</v>
      </c>
      <c r="AX2" t="str">
        <f>$K$40</f>
        <v>2023 Q4</v>
      </c>
      <c r="AY2" t="str">
        <f>$L$40</f>
        <v>2023 Q3</v>
      </c>
      <c r="AZ2" t="str">
        <f>$M$40</f>
        <v>2023 Q2</v>
      </c>
      <c r="BA2" t="str">
        <f>$N$40</f>
        <v>2023 Q1</v>
      </c>
      <c r="BB2" t="str">
        <f>$O$40</f>
        <v>2022 Q4</v>
      </c>
      <c r="BC2" t="str">
        <f>$P$40</f>
        <v>2022 Q3</v>
      </c>
      <c r="BD2" t="str">
        <f>$Q$40</f>
        <v>2022 Q2</v>
      </c>
      <c r="BE2" t="str">
        <f>$R$40</f>
        <v>2022 Q1</v>
      </c>
      <c r="BF2" t="str">
        <f>$S$40</f>
        <v>2021 Q4</v>
      </c>
      <c r="BG2" t="str">
        <f>$T$40</f>
        <v>2021 Q3</v>
      </c>
      <c r="BH2" t="str">
        <f>$U$40</f>
        <v>2021 Q2</v>
      </c>
      <c r="BI2" t="str">
        <f>$V$40</f>
        <v>2021 Q1</v>
      </c>
      <c r="BJ2" t="str">
        <f>$W$40</f>
        <v>2020 Q4</v>
      </c>
      <c r="BK2" t="str">
        <f>$X$40</f>
        <v>2020 Q3</v>
      </c>
      <c r="BL2" t="str">
        <f>$Y$40</f>
        <v>2020 Q2</v>
      </c>
      <c r="BM2" t="str">
        <f>$Z$40</f>
        <v>2020 Q1</v>
      </c>
      <c r="BN2" t="str">
        <f>$AA$40</f>
        <v>2019 Q4</v>
      </c>
      <c r="BO2" t="str">
        <f>$AB$40</f>
        <v>2019 Q3</v>
      </c>
      <c r="BP2" t="str">
        <f>$AC$40</f>
        <v>2019 Q2</v>
      </c>
      <c r="BQ2" t="str">
        <f>$AD$40</f>
        <v>2019 Q1</v>
      </c>
      <c r="BR2" t="str">
        <f>$AE$40</f>
        <v>2018 Q4</v>
      </c>
      <c r="BS2" t="str">
        <f>$AF$40</f>
        <v>2018 Q3</v>
      </c>
      <c r="BT2" t="str">
        <f>$AG$40</f>
        <v>2018 Q2</v>
      </c>
      <c r="BU2" t="str">
        <f>$AH$40</f>
        <v>2018 Q1</v>
      </c>
      <c r="BV2" t="str">
        <f>$AI$40</f>
        <v>2017 Q4</v>
      </c>
      <c r="BW2" t="str">
        <f>$AJ$40</f>
        <v>2017 Q3</v>
      </c>
      <c r="BX2" t="str">
        <f>$AK$40</f>
        <v>2017 Q2</v>
      </c>
      <c r="BY2" t="str">
        <f>$AL$40</f>
        <v>2017 Q1</v>
      </c>
    </row>
    <row r="3" spans="1:77" x14ac:dyDescent="0.25">
      <c r="A3" t="str">
        <f>"SPX Index Buyback Program Announcements (B$)"</f>
        <v>SPX Index Buyback Program Announcements (B$)</v>
      </c>
      <c r="B3" t="str">
        <f>""</f>
        <v/>
      </c>
      <c r="E3" t="str">
        <f t="shared" ref="E3:E21" si="0">"Static"</f>
        <v>Static</v>
      </c>
      <c r="F3">
        <f t="shared" ref="F3:O12" ca="1" si="1">HLOOKUP(INDIRECT(ADDRESS(2,COLUMN())),OFFSET($AP$2,0,0,ROW()-1,36),ROW()-1,FALSE)</f>
        <v>159.9674</v>
      </c>
      <c r="G3">
        <f t="shared" ca="1" si="1"/>
        <v>363.3532998</v>
      </c>
      <c r="H3">
        <f t="shared" ca="1" si="1"/>
        <v>402.81508330000003</v>
      </c>
      <c r="I3">
        <f t="shared" ca="1" si="1"/>
        <v>302.50473</v>
      </c>
      <c r="J3">
        <f t="shared" ca="1" si="1"/>
        <v>272.7271015</v>
      </c>
      <c r="K3">
        <f t="shared" ca="1" si="1"/>
        <v>240.07159999999999</v>
      </c>
      <c r="L3">
        <f t="shared" ca="1" si="1"/>
        <v>352.5950818</v>
      </c>
      <c r="M3">
        <f t="shared" ca="1" si="1"/>
        <v>261.91252600000001</v>
      </c>
      <c r="N3">
        <f t="shared" ca="1" si="1"/>
        <v>197.44255799999999</v>
      </c>
      <c r="O3">
        <f t="shared" ca="1" si="1"/>
        <v>148.06819999999999</v>
      </c>
      <c r="P3">
        <f t="shared" ref="P3:Y12" ca="1" si="2">HLOOKUP(INDIRECT(ADDRESS(2,COLUMN())),OFFSET($AP$2,0,0,ROW()-1,36),ROW()-1,FALSE)</f>
        <v>252.09483610000001</v>
      </c>
      <c r="Q3">
        <f t="shared" ca="1" si="2"/>
        <v>315.48765680000002</v>
      </c>
      <c r="R3">
        <f t="shared" ca="1" si="2"/>
        <v>240.6245811</v>
      </c>
      <c r="S3">
        <f t="shared" ca="1" si="2"/>
        <v>176.00299380000001</v>
      </c>
      <c r="T3">
        <f t="shared" ca="1" si="2"/>
        <v>398.74144310000003</v>
      </c>
      <c r="U3">
        <f t="shared" ca="1" si="2"/>
        <v>245.464912</v>
      </c>
      <c r="V3">
        <f t="shared" ca="1" si="2"/>
        <v>280.48713670000001</v>
      </c>
      <c r="W3">
        <f t="shared" ca="1" si="2"/>
        <v>186.63898570000001</v>
      </c>
      <c r="X3">
        <f t="shared" ca="1" si="2"/>
        <v>367.30354360000001</v>
      </c>
      <c r="Y3">
        <f t="shared" ca="1" si="2"/>
        <v>246.14246170000001</v>
      </c>
      <c r="Z3">
        <f t="shared" ref="Z3:AI12" ca="1" si="3">HLOOKUP(INDIRECT(ADDRESS(2,COLUMN())),OFFSET($AP$2,0,0,ROW()-1,36),ROW()-1,FALSE)</f>
        <v>159.7871323</v>
      </c>
      <c r="AA3">
        <f t="shared" ca="1" si="3"/>
        <v>61.605488360000003</v>
      </c>
      <c r="AB3">
        <f t="shared" ca="1" si="3"/>
        <v>59.731739009999998</v>
      </c>
      <c r="AC3">
        <f t="shared" ca="1" si="3"/>
        <v>121.88619850000001</v>
      </c>
      <c r="AD3">
        <f t="shared" ca="1" si="3"/>
        <v>114.1613952</v>
      </c>
      <c r="AE3">
        <f t="shared" ca="1" si="3"/>
        <v>143.53530749999999</v>
      </c>
      <c r="AF3">
        <f t="shared" ca="1" si="3"/>
        <v>257.74179240000001</v>
      </c>
      <c r="AG3">
        <f t="shared" ca="1" si="3"/>
        <v>214.4446111</v>
      </c>
      <c r="AH3">
        <f t="shared" ca="1" si="3"/>
        <v>209.92379800000001</v>
      </c>
      <c r="AI3">
        <f t="shared" ca="1" si="3"/>
        <v>144.2893</v>
      </c>
      <c r="AJ3">
        <f t="shared" ref="AJ3:AO12" ca="1" si="4">HLOOKUP(INDIRECT(ADDRESS(2,COLUMN())),OFFSET($AP$2,0,0,ROW()-1,36),ROW()-1,FALSE)</f>
        <v>417.68611920000001</v>
      </c>
      <c r="AK3">
        <f t="shared" ca="1" si="4"/>
        <v>187.6878169</v>
      </c>
      <c r="AL3">
        <f t="shared" ca="1" si="4"/>
        <v>165.02029210000001</v>
      </c>
      <c r="AM3">
        <f t="shared" ca="1" si="4"/>
        <v>62.861165700000001</v>
      </c>
      <c r="AN3">
        <f t="shared" ca="1" si="4"/>
        <v>207.36027989999999</v>
      </c>
      <c r="AO3">
        <f t="shared" ca="1" si="4"/>
        <v>82.714318599999999</v>
      </c>
      <c r="AP3">
        <f>159.9674</f>
        <v>159.9674</v>
      </c>
      <c r="AQ3">
        <f>363.3532998</f>
        <v>363.3532998</v>
      </c>
      <c r="AR3">
        <f>402.8150833</f>
        <v>402.81508330000003</v>
      </c>
      <c r="AS3">
        <f>302.50473</f>
        <v>302.50473</v>
      </c>
      <c r="AT3">
        <f>272.7271015</f>
        <v>272.7271015</v>
      </c>
      <c r="AU3">
        <f>240.0716</f>
        <v>240.07159999999999</v>
      </c>
      <c r="AV3">
        <f>352.5950818</f>
        <v>352.5950818</v>
      </c>
      <c r="AW3">
        <f>261.912526</f>
        <v>261.91252600000001</v>
      </c>
      <c r="AX3">
        <f>197.442558</f>
        <v>197.44255799999999</v>
      </c>
      <c r="AY3">
        <f>148.0682</f>
        <v>148.06819999999999</v>
      </c>
      <c r="AZ3">
        <f>252.0948361</f>
        <v>252.09483610000001</v>
      </c>
      <c r="BA3">
        <f>315.4876568</f>
        <v>315.48765680000002</v>
      </c>
      <c r="BB3">
        <f>240.6245811</f>
        <v>240.6245811</v>
      </c>
      <c r="BC3">
        <f>176.0029938</f>
        <v>176.00299380000001</v>
      </c>
      <c r="BD3">
        <f>398.7414431</f>
        <v>398.74144310000003</v>
      </c>
      <c r="BE3">
        <f>245.464912</f>
        <v>245.464912</v>
      </c>
      <c r="BF3">
        <f>280.4871367</f>
        <v>280.48713670000001</v>
      </c>
      <c r="BG3">
        <f>186.6389857</f>
        <v>186.63898570000001</v>
      </c>
      <c r="BH3">
        <f>367.3035436</f>
        <v>367.30354360000001</v>
      </c>
      <c r="BI3">
        <f>246.1424617</f>
        <v>246.14246170000001</v>
      </c>
      <c r="BJ3">
        <f>159.7871323</f>
        <v>159.7871323</v>
      </c>
      <c r="BK3">
        <f>61.60548836</f>
        <v>61.605488360000003</v>
      </c>
      <c r="BL3">
        <f>59.73173901</f>
        <v>59.731739009999998</v>
      </c>
      <c r="BM3">
        <f>121.8861985</f>
        <v>121.88619850000001</v>
      </c>
      <c r="BN3">
        <f>114.1613952</f>
        <v>114.1613952</v>
      </c>
      <c r="BO3">
        <f>143.5353075</f>
        <v>143.53530749999999</v>
      </c>
      <c r="BP3">
        <f>257.7417924</f>
        <v>257.74179240000001</v>
      </c>
      <c r="BQ3">
        <f>214.4446111</f>
        <v>214.4446111</v>
      </c>
      <c r="BR3">
        <f>209.923798</f>
        <v>209.92379800000001</v>
      </c>
      <c r="BS3">
        <f>144.2893</f>
        <v>144.2893</v>
      </c>
      <c r="BT3">
        <f>417.6861192</f>
        <v>417.68611920000001</v>
      </c>
      <c r="BU3">
        <f>187.6878169</f>
        <v>187.6878169</v>
      </c>
      <c r="BV3">
        <f>165.0202921</f>
        <v>165.02029210000001</v>
      </c>
      <c r="BW3">
        <f>62.8611657</f>
        <v>62.861165700000001</v>
      </c>
      <c r="BX3">
        <f>207.3602799</f>
        <v>207.36027989999999</v>
      </c>
      <c r="BY3">
        <f>82.7143186</f>
        <v>82.714318599999999</v>
      </c>
    </row>
    <row r="4" spans="1:77" x14ac:dyDescent="0.25">
      <c r="A4" t="str">
        <f>"    Latest Update: 6/26"</f>
        <v xml:space="preserve">    Latest Update: 6/26</v>
      </c>
      <c r="B4" t="str">
        <f>""</f>
        <v/>
      </c>
      <c r="E4" t="str">
        <f t="shared" si="0"/>
        <v>Static</v>
      </c>
      <c r="F4" t="str">
        <f t="shared" ca="1" si="1"/>
        <v/>
      </c>
      <c r="G4" t="str">
        <f t="shared" ca="1" si="1"/>
        <v/>
      </c>
      <c r="H4" t="str">
        <f t="shared" ca="1" si="1"/>
        <v/>
      </c>
      <c r="I4" t="str">
        <f t="shared" ca="1" si="1"/>
        <v/>
      </c>
      <c r="J4" t="str">
        <f t="shared" ca="1" si="1"/>
        <v/>
      </c>
      <c r="K4" t="str">
        <f t="shared" ca="1" si="1"/>
        <v/>
      </c>
      <c r="L4" t="str">
        <f t="shared" ca="1" si="1"/>
        <v/>
      </c>
      <c r="M4" t="str">
        <f t="shared" ca="1" si="1"/>
        <v/>
      </c>
      <c r="N4" t="str">
        <f t="shared" ca="1" si="1"/>
        <v/>
      </c>
      <c r="O4" t="str">
        <f t="shared" ca="1" si="1"/>
        <v/>
      </c>
      <c r="P4" t="str">
        <f t="shared" ca="1" si="2"/>
        <v/>
      </c>
      <c r="Q4" t="str">
        <f t="shared" ca="1" si="2"/>
        <v/>
      </c>
      <c r="R4" t="str">
        <f t="shared" ca="1" si="2"/>
        <v/>
      </c>
      <c r="S4" t="str">
        <f t="shared" ca="1" si="2"/>
        <v/>
      </c>
      <c r="T4" t="str">
        <f t="shared" ca="1" si="2"/>
        <v/>
      </c>
      <c r="U4" t="str">
        <f t="shared" ca="1" si="2"/>
        <v/>
      </c>
      <c r="V4" t="str">
        <f t="shared" ca="1" si="2"/>
        <v/>
      </c>
      <c r="W4" t="str">
        <f t="shared" ca="1" si="2"/>
        <v/>
      </c>
      <c r="X4" t="str">
        <f t="shared" ca="1" si="2"/>
        <v/>
      </c>
      <c r="Y4" t="str">
        <f t="shared" ca="1" si="2"/>
        <v/>
      </c>
      <c r="Z4" t="str">
        <f t="shared" ca="1" si="3"/>
        <v/>
      </c>
      <c r="AA4" t="str">
        <f t="shared" ca="1" si="3"/>
        <v/>
      </c>
      <c r="AB4" t="str">
        <f t="shared" ca="1" si="3"/>
        <v/>
      </c>
      <c r="AC4" t="str">
        <f t="shared" ca="1" si="3"/>
        <v/>
      </c>
      <c r="AD4" t="str">
        <f t="shared" ca="1" si="3"/>
        <v/>
      </c>
      <c r="AE4" t="str">
        <f t="shared" ca="1" si="3"/>
        <v/>
      </c>
      <c r="AF4" t="str">
        <f t="shared" ca="1" si="3"/>
        <v/>
      </c>
      <c r="AG4" t="str">
        <f t="shared" ca="1" si="3"/>
        <v/>
      </c>
      <c r="AH4" t="str">
        <f t="shared" ca="1" si="3"/>
        <v/>
      </c>
      <c r="AI4" t="str">
        <f t="shared" ca="1" si="3"/>
        <v/>
      </c>
      <c r="AJ4" t="str">
        <f t="shared" ca="1" si="4"/>
        <v/>
      </c>
      <c r="AK4" t="str">
        <f t="shared" ca="1" si="4"/>
        <v/>
      </c>
      <c r="AL4" t="str">
        <f t="shared" ca="1" si="4"/>
        <v/>
      </c>
      <c r="AM4" t="str">
        <f t="shared" ca="1" si="4"/>
        <v/>
      </c>
      <c r="AN4" t="str">
        <f t="shared" ca="1" si="4"/>
        <v/>
      </c>
      <c r="AO4" t="str">
        <f t="shared" ca="1" si="4"/>
        <v/>
      </c>
      <c r="AP4" t="str">
        <f>""</f>
        <v/>
      </c>
      <c r="AQ4" t="str">
        <f>""</f>
        <v/>
      </c>
      <c r="AR4" t="str">
        <f>""</f>
        <v/>
      </c>
      <c r="AS4" t="str">
        <f>""</f>
        <v/>
      </c>
      <c r="AT4" t="str">
        <f>""</f>
        <v/>
      </c>
      <c r="AU4" t="str">
        <f>""</f>
        <v/>
      </c>
      <c r="AV4" t="str">
        <f>""</f>
        <v/>
      </c>
      <c r="AW4" t="str">
        <f>""</f>
        <v/>
      </c>
      <c r="AX4" t="str">
        <f>""</f>
        <v/>
      </c>
      <c r="AY4" t="str">
        <f>""</f>
        <v/>
      </c>
      <c r="AZ4" t="str">
        <f>""</f>
        <v/>
      </c>
      <c r="BA4" t="str">
        <f>""</f>
        <v/>
      </c>
      <c r="BB4" t="str">
        <f>""</f>
        <v/>
      </c>
      <c r="BC4" t="str">
        <f>""</f>
        <v/>
      </c>
      <c r="BD4" t="str">
        <f>""</f>
        <v/>
      </c>
      <c r="BE4" t="str">
        <f>""</f>
        <v/>
      </c>
      <c r="BF4" t="str">
        <f>""</f>
        <v/>
      </c>
      <c r="BG4" t="str">
        <f>""</f>
        <v/>
      </c>
      <c r="BH4" t="str">
        <f>""</f>
        <v/>
      </c>
      <c r="BI4" t="str">
        <f>""</f>
        <v/>
      </c>
      <c r="BJ4" t="str">
        <f>""</f>
        <v/>
      </c>
      <c r="BK4" t="str">
        <f>""</f>
        <v/>
      </c>
      <c r="BL4" t="str">
        <f>""</f>
        <v/>
      </c>
      <c r="BM4" t="str">
        <f>""</f>
        <v/>
      </c>
      <c r="BN4" t="str">
        <f>""</f>
        <v/>
      </c>
      <c r="BO4" t="str">
        <f>""</f>
        <v/>
      </c>
      <c r="BP4" t="str">
        <f>""</f>
        <v/>
      </c>
      <c r="BQ4" t="str">
        <f>""</f>
        <v/>
      </c>
      <c r="BR4" t="str">
        <f>""</f>
        <v/>
      </c>
      <c r="BS4" t="str">
        <f>""</f>
        <v/>
      </c>
      <c r="BT4" t="str">
        <f>""</f>
        <v/>
      </c>
      <c r="BU4" t="str">
        <f>""</f>
        <v/>
      </c>
      <c r="BV4" t="str">
        <f>""</f>
        <v/>
      </c>
      <c r="BW4" t="str">
        <f>""</f>
        <v/>
      </c>
      <c r="BX4" t="str">
        <f>""</f>
        <v/>
      </c>
      <c r="BY4" t="str">
        <f>""</f>
        <v/>
      </c>
    </row>
    <row r="5" spans="1:77" x14ac:dyDescent="0.25">
      <c r="A5" t="str">
        <f>"    Communication Services"</f>
        <v xml:space="preserve">    Communication Services</v>
      </c>
      <c r="B5" t="str">
        <f>""</f>
        <v/>
      </c>
      <c r="E5" t="str">
        <f t="shared" si="0"/>
        <v>Static</v>
      </c>
      <c r="F5">
        <f t="shared" ca="1" si="1"/>
        <v>2</v>
      </c>
      <c r="G5">
        <f t="shared" ca="1" si="1"/>
        <v>6.8</v>
      </c>
      <c r="H5">
        <f t="shared" ca="1" si="1"/>
        <v>70</v>
      </c>
      <c r="I5">
        <f t="shared" ca="1" si="1"/>
        <v>41.155000000000001</v>
      </c>
      <c r="J5">
        <f t="shared" ca="1" si="1"/>
        <v>15.5</v>
      </c>
      <c r="K5" t="str">
        <f t="shared" ca="1" si="1"/>
        <v/>
      </c>
      <c r="L5">
        <f t="shared" ca="1" si="1"/>
        <v>75</v>
      </c>
      <c r="M5">
        <f t="shared" ca="1" si="1"/>
        <v>105.976</v>
      </c>
      <c r="N5">
        <f t="shared" ca="1" si="1"/>
        <v>10</v>
      </c>
      <c r="O5">
        <f t="shared" ca="1" si="1"/>
        <v>19</v>
      </c>
      <c r="P5">
        <f t="shared" ca="1" si="2"/>
        <v>71</v>
      </c>
      <c r="Q5">
        <f t="shared" ca="1" si="2"/>
        <v>43.349999939999996</v>
      </c>
      <c r="R5">
        <f t="shared" ca="1" si="2"/>
        <v>5.5</v>
      </c>
      <c r="S5">
        <f t="shared" ca="1" si="2"/>
        <v>36.60000307</v>
      </c>
      <c r="T5">
        <f t="shared" ca="1" si="2"/>
        <v>70.012500000000003</v>
      </c>
      <c r="U5">
        <f t="shared" ca="1" si="2"/>
        <v>4.062578587</v>
      </c>
      <c r="V5">
        <f t="shared" ca="1" si="2"/>
        <v>51.367839600000003</v>
      </c>
      <c r="W5">
        <f t="shared" ca="1" si="2"/>
        <v>2.0000001599999999</v>
      </c>
      <c r="X5">
        <f t="shared" ca="1" si="2"/>
        <v>67.000002080000002</v>
      </c>
      <c r="Y5">
        <f t="shared" ca="1" si="2"/>
        <v>29</v>
      </c>
      <c r="Z5">
        <f t="shared" ca="1" si="3"/>
        <v>2.600000128</v>
      </c>
      <c r="AA5">
        <f t="shared" ca="1" si="3"/>
        <v>28</v>
      </c>
      <c r="AB5" t="str">
        <f t="shared" ca="1" si="3"/>
        <v/>
      </c>
      <c r="AC5">
        <f t="shared" ca="1" si="3"/>
        <v>15.94400224</v>
      </c>
      <c r="AD5">
        <f t="shared" ca="1" si="3"/>
        <v>2.1000003199999999</v>
      </c>
      <c r="AE5">
        <f t="shared" ca="1" si="3"/>
        <v>2.5</v>
      </c>
      <c r="AF5" t="str">
        <f t="shared" ca="1" si="3"/>
        <v/>
      </c>
      <c r="AG5">
        <f t="shared" ca="1" si="3"/>
        <v>2.7499995519999998</v>
      </c>
      <c r="AH5">
        <f t="shared" ca="1" si="3"/>
        <v>8.9999954239999997</v>
      </c>
      <c r="AI5" t="str">
        <f t="shared" ca="1" si="3"/>
        <v/>
      </c>
      <c r="AJ5">
        <f t="shared" ca="1" si="4"/>
        <v>11.399996059999999</v>
      </c>
      <c r="AK5">
        <f t="shared" ca="1" si="4"/>
        <v>9.1398702160000003</v>
      </c>
      <c r="AL5" t="str">
        <f t="shared" ca="1" si="4"/>
        <v/>
      </c>
      <c r="AM5" t="str">
        <f t="shared" ca="1" si="4"/>
        <v/>
      </c>
      <c r="AN5">
        <f t="shared" ca="1" si="4"/>
        <v>1.20000032</v>
      </c>
      <c r="AO5">
        <f t="shared" ca="1" si="4"/>
        <v>6.3090012419999999</v>
      </c>
      <c r="AP5">
        <f>2</f>
        <v>2</v>
      </c>
      <c r="AQ5">
        <f>6.8</f>
        <v>6.8</v>
      </c>
      <c r="AR5">
        <f>70</f>
        <v>70</v>
      </c>
      <c r="AS5">
        <f>41.155</f>
        <v>41.155000000000001</v>
      </c>
      <c r="AT5">
        <f>15.5</f>
        <v>15.5</v>
      </c>
      <c r="AU5" t="str">
        <f>""</f>
        <v/>
      </c>
      <c r="AV5">
        <f>75</f>
        <v>75</v>
      </c>
      <c r="AW5">
        <f>105.976</f>
        <v>105.976</v>
      </c>
      <c r="AX5">
        <f>10</f>
        <v>10</v>
      </c>
      <c r="AY5">
        <f>19</f>
        <v>19</v>
      </c>
      <c r="AZ5">
        <f>71</f>
        <v>71</v>
      </c>
      <c r="BA5">
        <f>43.34999994</f>
        <v>43.349999939999996</v>
      </c>
      <c r="BB5">
        <f>5.5</f>
        <v>5.5</v>
      </c>
      <c r="BC5">
        <f>36.60000307</f>
        <v>36.60000307</v>
      </c>
      <c r="BD5">
        <f>70.0125</f>
        <v>70.012500000000003</v>
      </c>
      <c r="BE5">
        <f>4.062578587</f>
        <v>4.062578587</v>
      </c>
      <c r="BF5">
        <f>51.3678396</f>
        <v>51.367839600000003</v>
      </c>
      <c r="BG5">
        <f>2.00000016</f>
        <v>2.0000001599999999</v>
      </c>
      <c r="BH5">
        <f>67.00000208</f>
        <v>67.000002080000002</v>
      </c>
      <c r="BI5">
        <f>29</f>
        <v>29</v>
      </c>
      <c r="BJ5">
        <f>2.600000128</f>
        <v>2.600000128</v>
      </c>
      <c r="BK5">
        <f>28</f>
        <v>28</v>
      </c>
      <c r="BL5" t="str">
        <f>""</f>
        <v/>
      </c>
      <c r="BM5">
        <f>15.94400224</f>
        <v>15.94400224</v>
      </c>
      <c r="BN5">
        <f>2.10000032</f>
        <v>2.1000003199999999</v>
      </c>
      <c r="BO5">
        <f>2.5</f>
        <v>2.5</v>
      </c>
      <c r="BP5" t="str">
        <f>""</f>
        <v/>
      </c>
      <c r="BQ5">
        <f>2.749999552</f>
        <v>2.7499995519999998</v>
      </c>
      <c r="BR5">
        <f>8.999995424</f>
        <v>8.9999954239999997</v>
      </c>
      <c r="BS5" t="str">
        <f>""</f>
        <v/>
      </c>
      <c r="BT5">
        <f>11.39999606</f>
        <v>11.399996059999999</v>
      </c>
      <c r="BU5">
        <f>9.139870216</f>
        <v>9.1398702160000003</v>
      </c>
      <c r="BV5" t="str">
        <f>""</f>
        <v/>
      </c>
      <c r="BW5" t="str">
        <f>""</f>
        <v/>
      </c>
      <c r="BX5">
        <f>1.20000032</f>
        <v>1.20000032</v>
      </c>
      <c r="BY5">
        <f>6.309001242</f>
        <v>6.3090012419999999</v>
      </c>
    </row>
    <row r="6" spans="1:77" x14ac:dyDescent="0.25">
      <c r="A6" t="str">
        <f>"    Consumer Discretionary"</f>
        <v xml:space="preserve">    Consumer Discretionary</v>
      </c>
      <c r="B6" t="str">
        <f>""</f>
        <v/>
      </c>
      <c r="E6" t="str">
        <f t="shared" si="0"/>
        <v>Static</v>
      </c>
      <c r="F6">
        <f t="shared" ca="1" si="1"/>
        <v>11.3</v>
      </c>
      <c r="G6">
        <f t="shared" ca="1" si="1"/>
        <v>17.664750000000002</v>
      </c>
      <c r="H6">
        <f t="shared" ca="1" si="1"/>
        <v>15.5</v>
      </c>
      <c r="I6">
        <f t="shared" ca="1" si="1"/>
        <v>48.190779999999997</v>
      </c>
      <c r="J6">
        <f t="shared" ca="1" si="1"/>
        <v>22.65</v>
      </c>
      <c r="K6">
        <f t="shared" ca="1" si="1"/>
        <v>9.4</v>
      </c>
      <c r="L6">
        <f t="shared" ca="1" si="1"/>
        <v>12.0662</v>
      </c>
      <c r="M6">
        <f t="shared" ca="1" si="1"/>
        <v>25.204000000000001</v>
      </c>
      <c r="N6">
        <f t="shared" ca="1" si="1"/>
        <v>34.92944</v>
      </c>
      <c r="O6">
        <f t="shared" ca="1" si="1"/>
        <v>15.6</v>
      </c>
      <c r="P6">
        <f t="shared" ca="1" si="2"/>
        <v>7.4135999999999997</v>
      </c>
      <c r="Q6">
        <f t="shared" ca="1" si="2"/>
        <v>24.005002749999999</v>
      </c>
      <c r="R6">
        <f t="shared" ca="1" si="2"/>
        <v>25.64949708</v>
      </c>
      <c r="S6">
        <f t="shared" ca="1" si="2"/>
        <v>19.40000032</v>
      </c>
      <c r="T6">
        <f t="shared" ca="1" si="2"/>
        <v>28.89620008</v>
      </c>
      <c r="U6">
        <f t="shared" ca="1" si="2"/>
        <v>47.584899980000003</v>
      </c>
      <c r="V6">
        <f t="shared" ca="1" si="2"/>
        <v>21.627999620000001</v>
      </c>
      <c r="W6">
        <f t="shared" ca="1" si="2"/>
        <v>8.3499987559999997</v>
      </c>
      <c r="X6">
        <f t="shared" ca="1" si="2"/>
        <v>31.630719110000001</v>
      </c>
      <c r="Y6">
        <f t="shared" ca="1" si="2"/>
        <v>16.168251059999999</v>
      </c>
      <c r="Z6">
        <f t="shared" ca="1" si="3"/>
        <v>18.299999700000001</v>
      </c>
      <c r="AA6" t="str">
        <f t="shared" ca="1" si="3"/>
        <v/>
      </c>
      <c r="AB6" t="str">
        <f t="shared" ca="1" si="3"/>
        <v/>
      </c>
      <c r="AC6">
        <f t="shared" ca="1" si="3"/>
        <v>20.4281009</v>
      </c>
      <c r="AD6">
        <f t="shared" ca="1" si="3"/>
        <v>21.861197529999998</v>
      </c>
      <c r="AE6">
        <f t="shared" ca="1" si="3"/>
        <v>2.5000003199999998</v>
      </c>
      <c r="AF6">
        <f t="shared" ca="1" si="3"/>
        <v>19.59999998</v>
      </c>
      <c r="AG6">
        <f t="shared" ca="1" si="3"/>
        <v>38.988898059999997</v>
      </c>
      <c r="AH6">
        <f t="shared" ca="1" si="3"/>
        <v>14.000002090000001</v>
      </c>
      <c r="AI6">
        <f t="shared" ca="1" si="3"/>
        <v>5.3500001040000003</v>
      </c>
      <c r="AJ6">
        <f t="shared" ca="1" si="4"/>
        <v>32.199699029999998</v>
      </c>
      <c r="AK6">
        <f t="shared" ca="1" si="4"/>
        <v>18.74829867</v>
      </c>
      <c r="AL6">
        <f t="shared" ca="1" si="4"/>
        <v>23.164297170000001</v>
      </c>
      <c r="AM6">
        <f t="shared" ca="1" si="4"/>
        <v>23.490049689999999</v>
      </c>
      <c r="AN6">
        <f t="shared" ca="1" si="4"/>
        <v>3.2000001299999998</v>
      </c>
      <c r="AO6">
        <f t="shared" ca="1" si="4"/>
        <v>39.579596629999998</v>
      </c>
      <c r="AP6">
        <f>11.3</f>
        <v>11.3</v>
      </c>
      <c r="AQ6">
        <f>17.66475</f>
        <v>17.664750000000002</v>
      </c>
      <c r="AR6">
        <f>15.5</f>
        <v>15.5</v>
      </c>
      <c r="AS6">
        <f>48.19078</f>
        <v>48.190779999999997</v>
      </c>
      <c r="AT6">
        <f>22.65</f>
        <v>22.65</v>
      </c>
      <c r="AU6">
        <f>9.4</f>
        <v>9.4</v>
      </c>
      <c r="AV6">
        <f>12.0662</f>
        <v>12.0662</v>
      </c>
      <c r="AW6">
        <f>25.204</f>
        <v>25.204000000000001</v>
      </c>
      <c r="AX6">
        <f>34.92944</f>
        <v>34.92944</v>
      </c>
      <c r="AY6">
        <f>15.6</f>
        <v>15.6</v>
      </c>
      <c r="AZ6">
        <f>7.4136</f>
        <v>7.4135999999999997</v>
      </c>
      <c r="BA6">
        <f>24.00500275</f>
        <v>24.005002749999999</v>
      </c>
      <c r="BB6">
        <f>25.64949708</f>
        <v>25.64949708</v>
      </c>
      <c r="BC6">
        <f>19.40000032</f>
        <v>19.40000032</v>
      </c>
      <c r="BD6">
        <f>28.89620008</f>
        <v>28.89620008</v>
      </c>
      <c r="BE6">
        <f>47.58489998</f>
        <v>47.584899980000003</v>
      </c>
      <c r="BF6">
        <f>21.62799962</f>
        <v>21.627999620000001</v>
      </c>
      <c r="BG6">
        <f>8.349998756</f>
        <v>8.3499987559999997</v>
      </c>
      <c r="BH6">
        <f>31.63071911</f>
        <v>31.630719110000001</v>
      </c>
      <c r="BI6">
        <f>16.16825106</f>
        <v>16.168251059999999</v>
      </c>
      <c r="BJ6">
        <f>18.2999997</f>
        <v>18.299999700000001</v>
      </c>
      <c r="BK6" t="str">
        <f>""</f>
        <v/>
      </c>
      <c r="BL6" t="str">
        <f>""</f>
        <v/>
      </c>
      <c r="BM6">
        <f>20.4281009</f>
        <v>20.4281009</v>
      </c>
      <c r="BN6">
        <f>21.86119753</f>
        <v>21.861197529999998</v>
      </c>
      <c r="BO6">
        <f>2.50000032</f>
        <v>2.5000003199999998</v>
      </c>
      <c r="BP6">
        <f>19.59999998</f>
        <v>19.59999998</v>
      </c>
      <c r="BQ6">
        <f>38.98889806</f>
        <v>38.988898059999997</v>
      </c>
      <c r="BR6">
        <f>14.00000209</f>
        <v>14.000002090000001</v>
      </c>
      <c r="BS6">
        <f>5.350000104</f>
        <v>5.3500001040000003</v>
      </c>
      <c r="BT6">
        <f>32.19969903</f>
        <v>32.199699029999998</v>
      </c>
      <c r="BU6">
        <f>18.74829867</f>
        <v>18.74829867</v>
      </c>
      <c r="BV6">
        <f>23.16429717</f>
        <v>23.164297170000001</v>
      </c>
      <c r="BW6">
        <f>23.49004969</f>
        <v>23.490049689999999</v>
      </c>
      <c r="BX6">
        <f>3.20000013</f>
        <v>3.2000001299999998</v>
      </c>
      <c r="BY6">
        <f>39.57959663</f>
        <v>39.579596629999998</v>
      </c>
    </row>
    <row r="7" spans="1:77" x14ac:dyDescent="0.25">
      <c r="A7" t="str">
        <f>"    Consumer Staples"</f>
        <v xml:space="preserve">    Consumer Staples</v>
      </c>
      <c r="B7" t="str">
        <f>""</f>
        <v/>
      </c>
      <c r="E7" t="str">
        <f t="shared" si="0"/>
        <v>Static</v>
      </c>
      <c r="F7">
        <f t="shared" ca="1" si="1"/>
        <v>4.4000000000000004</v>
      </c>
      <c r="G7">
        <f t="shared" ca="1" si="1"/>
        <v>6.117</v>
      </c>
      <c r="H7">
        <f t="shared" ca="1" si="1"/>
        <v>4</v>
      </c>
      <c r="I7">
        <f t="shared" ca="1" si="1"/>
        <v>6</v>
      </c>
      <c r="J7">
        <f t="shared" ca="1" si="1"/>
        <v>22.792000000000002</v>
      </c>
      <c r="K7">
        <f t="shared" ca="1" si="1"/>
        <v>0.5</v>
      </c>
      <c r="L7">
        <f t="shared" ca="1" si="1"/>
        <v>3.5</v>
      </c>
      <c r="M7">
        <f t="shared" ca="1" si="1"/>
        <v>6.4</v>
      </c>
      <c r="N7">
        <f t="shared" ca="1" si="1"/>
        <v>8.4046299999999992</v>
      </c>
      <c r="O7">
        <f t="shared" ca="1" si="1"/>
        <v>6</v>
      </c>
      <c r="P7">
        <f t="shared" ca="1" si="2"/>
        <v>1.7</v>
      </c>
      <c r="Q7">
        <f t="shared" ca="1" si="2"/>
        <v>10.999998209999999</v>
      </c>
      <c r="R7">
        <f t="shared" ca="1" si="2"/>
        <v>22.00000008</v>
      </c>
      <c r="S7">
        <f t="shared" ca="1" si="2"/>
        <v>11.00000028</v>
      </c>
      <c r="T7">
        <f t="shared" ca="1" si="2"/>
        <v>7.6040014859999996</v>
      </c>
      <c r="U7">
        <f t="shared" ca="1" si="2"/>
        <v>15.200000040000001</v>
      </c>
      <c r="V7">
        <f t="shared" ca="1" si="2"/>
        <v>6.8648499279999999</v>
      </c>
      <c r="W7">
        <f t="shared" ca="1" si="2"/>
        <v>26.549998469999998</v>
      </c>
      <c r="X7">
        <f t="shared" ca="1" si="2"/>
        <v>13.750000549999999</v>
      </c>
      <c r="Y7">
        <f t="shared" ca="1" si="2"/>
        <v>33.460405219999998</v>
      </c>
      <c r="Z7">
        <f t="shared" ca="1" si="3"/>
        <v>4.5781506360000002</v>
      </c>
      <c r="AA7">
        <f t="shared" ca="1" si="3"/>
        <v>11.99999914</v>
      </c>
      <c r="AB7" t="str">
        <f t="shared" ca="1" si="3"/>
        <v/>
      </c>
      <c r="AC7">
        <f t="shared" ca="1" si="3"/>
        <v>0.50000007999999996</v>
      </c>
      <c r="AD7">
        <f t="shared" ca="1" si="3"/>
        <v>3.1000003700000001</v>
      </c>
      <c r="AE7">
        <f t="shared" ca="1" si="3"/>
        <v>12.330001920000001</v>
      </c>
      <c r="AF7">
        <f t="shared" ca="1" si="3"/>
        <v>4</v>
      </c>
      <c r="AG7">
        <f t="shared" ca="1" si="3"/>
        <v>8.3790020439999999</v>
      </c>
      <c r="AH7">
        <f t="shared" ca="1" si="3"/>
        <v>5.4976000000000003</v>
      </c>
      <c r="AI7">
        <f t="shared" ca="1" si="3"/>
        <v>1.2000002000000001</v>
      </c>
      <c r="AJ7">
        <f t="shared" ca="1" si="4"/>
        <v>19.50000296</v>
      </c>
      <c r="AK7">
        <f t="shared" ca="1" si="4"/>
        <v>27.249997530000002</v>
      </c>
      <c r="AL7">
        <f t="shared" ca="1" si="4"/>
        <v>23.100002880000002</v>
      </c>
      <c r="AM7">
        <f t="shared" ca="1" si="4"/>
        <v>1.0000001300000001</v>
      </c>
      <c r="AN7">
        <f t="shared" ca="1" si="4"/>
        <v>8.0000012179999995</v>
      </c>
      <c r="AO7">
        <f t="shared" ca="1" si="4"/>
        <v>3.4999998720000001</v>
      </c>
      <c r="AP7">
        <f>4.4</f>
        <v>4.4000000000000004</v>
      </c>
      <c r="AQ7">
        <f>6.117</f>
        <v>6.117</v>
      </c>
      <c r="AR7">
        <f>4</f>
        <v>4</v>
      </c>
      <c r="AS7">
        <f>6</f>
        <v>6</v>
      </c>
      <c r="AT7">
        <f>22.792</f>
        <v>22.792000000000002</v>
      </c>
      <c r="AU7">
        <f>0.5</f>
        <v>0.5</v>
      </c>
      <c r="AV7">
        <f>3.5</f>
        <v>3.5</v>
      </c>
      <c r="AW7">
        <f>6.4</f>
        <v>6.4</v>
      </c>
      <c r="AX7">
        <f>8.40463</f>
        <v>8.4046299999999992</v>
      </c>
      <c r="AY7">
        <f>6</f>
        <v>6</v>
      </c>
      <c r="AZ7">
        <f>1.7</f>
        <v>1.7</v>
      </c>
      <c r="BA7">
        <f>10.99999821</f>
        <v>10.999998209999999</v>
      </c>
      <c r="BB7">
        <f>22.00000008</f>
        <v>22.00000008</v>
      </c>
      <c r="BC7">
        <f>11.00000028</f>
        <v>11.00000028</v>
      </c>
      <c r="BD7">
        <f>7.604001486</f>
        <v>7.6040014859999996</v>
      </c>
      <c r="BE7">
        <f>15.20000004</f>
        <v>15.200000040000001</v>
      </c>
      <c r="BF7">
        <f>6.864849928</f>
        <v>6.8648499279999999</v>
      </c>
      <c r="BG7">
        <f>26.54999847</f>
        <v>26.549998469999998</v>
      </c>
      <c r="BH7">
        <f>13.75000055</f>
        <v>13.750000549999999</v>
      </c>
      <c r="BI7">
        <f>33.46040522</f>
        <v>33.460405219999998</v>
      </c>
      <c r="BJ7">
        <f>4.578150636</f>
        <v>4.5781506360000002</v>
      </c>
      <c r="BK7">
        <f>11.99999914</f>
        <v>11.99999914</v>
      </c>
      <c r="BL7" t="str">
        <f>""</f>
        <v/>
      </c>
      <c r="BM7">
        <f>0.50000008</f>
        <v>0.50000007999999996</v>
      </c>
      <c r="BN7">
        <f>3.10000037</f>
        <v>3.1000003700000001</v>
      </c>
      <c r="BO7">
        <f>12.33000192</f>
        <v>12.330001920000001</v>
      </c>
      <c r="BP7">
        <f>4</f>
        <v>4</v>
      </c>
      <c r="BQ7">
        <f>8.379002044</f>
        <v>8.3790020439999999</v>
      </c>
      <c r="BR7">
        <f>5.4976</f>
        <v>5.4976000000000003</v>
      </c>
      <c r="BS7">
        <f>1.2000002</f>
        <v>1.2000002000000001</v>
      </c>
      <c r="BT7">
        <f>19.50000296</f>
        <v>19.50000296</v>
      </c>
      <c r="BU7">
        <f>27.24999753</f>
        <v>27.249997530000002</v>
      </c>
      <c r="BV7">
        <f>23.10000288</f>
        <v>23.100002880000002</v>
      </c>
      <c r="BW7">
        <f>1.00000013</f>
        <v>1.0000001300000001</v>
      </c>
      <c r="BX7">
        <f>8.000001218</f>
        <v>8.0000012179999995</v>
      </c>
      <c r="BY7">
        <f>3.499999872</f>
        <v>3.4999998720000001</v>
      </c>
    </row>
    <row r="8" spans="1:77" x14ac:dyDescent="0.25">
      <c r="A8" t="str">
        <f>"    Energy"</f>
        <v xml:space="preserve">    Energy</v>
      </c>
      <c r="B8" t="str">
        <f>""</f>
        <v/>
      </c>
      <c r="E8" t="str">
        <f t="shared" si="0"/>
        <v>Static</v>
      </c>
      <c r="F8" t="str">
        <f t="shared" ca="1" si="1"/>
        <v/>
      </c>
      <c r="G8">
        <f t="shared" ca="1" si="1"/>
        <v>3</v>
      </c>
      <c r="H8" t="str">
        <f t="shared" ca="1" si="1"/>
        <v/>
      </c>
      <c r="I8" t="str">
        <f t="shared" ca="1" si="1"/>
        <v/>
      </c>
      <c r="J8">
        <f t="shared" ca="1" si="1"/>
        <v>56.2</v>
      </c>
      <c r="K8">
        <f t="shared" ca="1" si="1"/>
        <v>8</v>
      </c>
      <c r="L8">
        <f t="shared" ca="1" si="1"/>
        <v>5</v>
      </c>
      <c r="M8">
        <f t="shared" ca="1" si="1"/>
        <v>4.5</v>
      </c>
      <c r="N8">
        <f t="shared" ca="1" si="1"/>
        <v>7.5</v>
      </c>
      <c r="O8">
        <f t="shared" ca="1" si="1"/>
        <v>2.5</v>
      </c>
      <c r="P8">
        <f t="shared" ca="1" si="2"/>
        <v>11.000000139999999</v>
      </c>
      <c r="Q8">
        <f t="shared" ca="1" si="2"/>
        <v>89.500008699999995</v>
      </c>
      <c r="R8">
        <f t="shared" ca="1" si="2"/>
        <v>51.300002110000001</v>
      </c>
      <c r="S8">
        <f t="shared" ca="1" si="2"/>
        <v>12.01680039</v>
      </c>
      <c r="T8">
        <f t="shared" ca="1" si="2"/>
        <v>21.760002109999999</v>
      </c>
      <c r="U8">
        <f t="shared" ca="1" si="2"/>
        <v>23.850001410000001</v>
      </c>
      <c r="V8">
        <f t="shared" ca="1" si="2"/>
        <v>8.4399999179999998</v>
      </c>
      <c r="W8">
        <f t="shared" ca="1" si="2"/>
        <v>5.4999998720000001</v>
      </c>
      <c r="X8">
        <f t="shared" ca="1" si="2"/>
        <v>8.0266149900000006</v>
      </c>
      <c r="Y8" t="str">
        <f t="shared" ca="1" si="2"/>
        <v/>
      </c>
      <c r="Z8" t="str">
        <f t="shared" ca="1" si="3"/>
        <v/>
      </c>
      <c r="AA8" t="str">
        <f t="shared" ca="1" si="3"/>
        <v/>
      </c>
      <c r="AB8" t="str">
        <f t="shared" ca="1" si="3"/>
        <v/>
      </c>
      <c r="AC8">
        <f t="shared" ca="1" si="3"/>
        <v>10.000001060000001</v>
      </c>
      <c r="AD8">
        <f t="shared" ca="1" si="3"/>
        <v>3.9999992639999999</v>
      </c>
      <c r="AE8">
        <f t="shared" ca="1" si="3"/>
        <v>1.4289998230000001</v>
      </c>
      <c r="AF8">
        <f t="shared" ca="1" si="3"/>
        <v>2.0000003199999998</v>
      </c>
      <c r="AG8">
        <f t="shared" ca="1" si="3"/>
        <v>25.999990400000002</v>
      </c>
      <c r="AH8">
        <f t="shared" ca="1" si="3"/>
        <v>2.80000048</v>
      </c>
      <c r="AI8">
        <f t="shared" ca="1" si="3"/>
        <v>10.956195729999999</v>
      </c>
      <c r="AJ8">
        <f t="shared" ca="1" si="4"/>
        <v>7.9999989840000003</v>
      </c>
      <c r="AK8">
        <f t="shared" ca="1" si="4"/>
        <v>4.7515006169999996</v>
      </c>
      <c r="AL8">
        <f t="shared" ca="1" si="4"/>
        <v>5.9999980879999999</v>
      </c>
      <c r="AM8">
        <f t="shared" ca="1" si="4"/>
        <v>2.0000003199999998</v>
      </c>
      <c r="AN8">
        <f t="shared" ca="1" si="4"/>
        <v>3.4999990639999998</v>
      </c>
      <c r="AO8">
        <f t="shared" ca="1" si="4"/>
        <v>2.9999989839999999</v>
      </c>
      <c r="AP8" t="str">
        <f>""</f>
        <v/>
      </c>
      <c r="AQ8">
        <f>3</f>
        <v>3</v>
      </c>
      <c r="AR8" t="str">
        <f>""</f>
        <v/>
      </c>
      <c r="AS8" t="str">
        <f>""</f>
        <v/>
      </c>
      <c r="AT8">
        <f>56.2</f>
        <v>56.2</v>
      </c>
      <c r="AU8">
        <f>8</f>
        <v>8</v>
      </c>
      <c r="AV8">
        <f>5</f>
        <v>5</v>
      </c>
      <c r="AW8">
        <f>4.5</f>
        <v>4.5</v>
      </c>
      <c r="AX8">
        <f>7.5</f>
        <v>7.5</v>
      </c>
      <c r="AY8">
        <f>2.5</f>
        <v>2.5</v>
      </c>
      <c r="AZ8">
        <f>11.00000014</f>
        <v>11.000000139999999</v>
      </c>
      <c r="BA8">
        <f>89.5000087</f>
        <v>89.500008699999995</v>
      </c>
      <c r="BB8">
        <f>51.30000211</f>
        <v>51.300002110000001</v>
      </c>
      <c r="BC8">
        <f>12.01680039</f>
        <v>12.01680039</v>
      </c>
      <c r="BD8">
        <f>21.76000211</f>
        <v>21.760002109999999</v>
      </c>
      <c r="BE8">
        <f>23.85000141</f>
        <v>23.850001410000001</v>
      </c>
      <c r="BF8">
        <f>8.439999918</f>
        <v>8.4399999179999998</v>
      </c>
      <c r="BG8">
        <f>5.499999872</f>
        <v>5.4999998720000001</v>
      </c>
      <c r="BH8">
        <f>8.02661499</f>
        <v>8.0266149900000006</v>
      </c>
      <c r="BI8" t="str">
        <f>""</f>
        <v/>
      </c>
      <c r="BJ8" t="str">
        <f>""</f>
        <v/>
      </c>
      <c r="BK8" t="str">
        <f>""</f>
        <v/>
      </c>
      <c r="BL8" t="str">
        <f>""</f>
        <v/>
      </c>
      <c r="BM8">
        <f>10.00000106</f>
        <v>10.000001060000001</v>
      </c>
      <c r="BN8">
        <f>3.999999264</f>
        <v>3.9999992639999999</v>
      </c>
      <c r="BO8">
        <f>1.428999823</f>
        <v>1.4289998230000001</v>
      </c>
      <c r="BP8">
        <f>2.00000032</f>
        <v>2.0000003199999998</v>
      </c>
      <c r="BQ8">
        <f>25.9999904</f>
        <v>25.999990400000002</v>
      </c>
      <c r="BR8">
        <f>2.80000048</f>
        <v>2.80000048</v>
      </c>
      <c r="BS8">
        <f>10.95619573</f>
        <v>10.956195729999999</v>
      </c>
      <c r="BT8">
        <f>7.999998984</f>
        <v>7.9999989840000003</v>
      </c>
      <c r="BU8">
        <f>4.751500617</f>
        <v>4.7515006169999996</v>
      </c>
      <c r="BV8">
        <f>5.999998088</f>
        <v>5.9999980879999999</v>
      </c>
      <c r="BW8">
        <f>2.00000032</f>
        <v>2.0000003199999998</v>
      </c>
      <c r="BX8">
        <f>3.499999064</f>
        <v>3.4999990639999998</v>
      </c>
      <c r="BY8">
        <f>2.999998984</f>
        <v>2.9999989839999999</v>
      </c>
    </row>
    <row r="9" spans="1:77" x14ac:dyDescent="0.25">
      <c r="A9" t="str">
        <f>"    Financials"</f>
        <v xml:space="preserve">    Financials</v>
      </c>
      <c r="B9" t="str">
        <f>""</f>
        <v/>
      </c>
      <c r="E9" t="str">
        <f t="shared" si="0"/>
        <v>Static</v>
      </c>
      <c r="F9">
        <f t="shared" ca="1" si="1"/>
        <v>68.800799999999995</v>
      </c>
      <c r="G9">
        <f t="shared" ca="1" si="1"/>
        <v>147.80500000000001</v>
      </c>
      <c r="H9">
        <f t="shared" ca="1" si="1"/>
        <v>138.49674999999999</v>
      </c>
      <c r="I9">
        <f t="shared" ca="1" si="1"/>
        <v>80.406599999999997</v>
      </c>
      <c r="J9">
        <f t="shared" ca="1" si="1"/>
        <v>35.545740000000002</v>
      </c>
      <c r="K9">
        <f t="shared" ca="1" si="1"/>
        <v>46.5</v>
      </c>
      <c r="L9">
        <f t="shared" ca="1" si="1"/>
        <v>77.149000000000001</v>
      </c>
      <c r="M9">
        <f t="shared" ca="1" si="1"/>
        <v>13.658526</v>
      </c>
      <c r="N9">
        <f t="shared" ca="1" si="1"/>
        <v>39.821888000000001</v>
      </c>
      <c r="O9">
        <f t="shared" ca="1" si="1"/>
        <v>41.85</v>
      </c>
      <c r="P9">
        <f t="shared" ca="1" si="2"/>
        <v>42.211750129999999</v>
      </c>
      <c r="Q9">
        <f t="shared" ca="1" si="2"/>
        <v>78.08894694</v>
      </c>
      <c r="R9">
        <f t="shared" ca="1" si="2"/>
        <v>32.608581319999999</v>
      </c>
      <c r="S9">
        <f t="shared" ca="1" si="2"/>
        <v>26.14999619</v>
      </c>
      <c r="T9">
        <f t="shared" ca="1" si="2"/>
        <v>104.1475944</v>
      </c>
      <c r="U9">
        <f t="shared" ca="1" si="2"/>
        <v>24.509997330000001</v>
      </c>
      <c r="V9">
        <f t="shared" ca="1" si="2"/>
        <v>57.483049649999998</v>
      </c>
      <c r="W9">
        <f t="shared" ca="1" si="2"/>
        <v>34.989000410000003</v>
      </c>
      <c r="X9">
        <f t="shared" ca="1" si="2"/>
        <v>62.843759679999998</v>
      </c>
      <c r="Y9">
        <f t="shared" ca="1" si="2"/>
        <v>57.423476819999998</v>
      </c>
      <c r="Z9">
        <f t="shared" ca="1" si="3"/>
        <v>71.531627229999998</v>
      </c>
      <c r="AA9">
        <f t="shared" ca="1" si="3"/>
        <v>10.75400099</v>
      </c>
      <c r="AB9">
        <f t="shared" ca="1" si="3"/>
        <v>6.8317600330000001</v>
      </c>
      <c r="AC9">
        <f t="shared" ca="1" si="3"/>
        <v>26.367495170000002</v>
      </c>
      <c r="AD9">
        <f t="shared" ca="1" si="3"/>
        <v>20.6001917</v>
      </c>
      <c r="AE9">
        <f t="shared" ca="1" si="3"/>
        <v>37.626300929999999</v>
      </c>
      <c r="AF9">
        <f t="shared" ca="1" si="3"/>
        <v>123.9434938</v>
      </c>
      <c r="AG9">
        <f t="shared" ca="1" si="3"/>
        <v>25.777221260000001</v>
      </c>
      <c r="AH9">
        <f t="shared" ca="1" si="3"/>
        <v>39.875997509999998</v>
      </c>
      <c r="AI9">
        <f t="shared" ca="1" si="3"/>
        <v>16.842702670000001</v>
      </c>
      <c r="AJ9">
        <f t="shared" ca="1" si="4"/>
        <v>128.62568440000001</v>
      </c>
      <c r="AK9">
        <f t="shared" ca="1" si="4"/>
        <v>36.738095399999999</v>
      </c>
      <c r="AL9">
        <f t="shared" ca="1" si="4"/>
        <v>14.753001530000001</v>
      </c>
      <c r="AM9">
        <f t="shared" ca="1" si="4"/>
        <v>15.00326667</v>
      </c>
      <c r="AN9">
        <f t="shared" ca="1" si="4"/>
        <v>118.7574965</v>
      </c>
      <c r="AO9">
        <f t="shared" ca="1" si="4"/>
        <v>9.7000005399999996</v>
      </c>
      <c r="AP9">
        <f>68.8008</f>
        <v>68.800799999999995</v>
      </c>
      <c r="AQ9">
        <f>147.805</f>
        <v>147.80500000000001</v>
      </c>
      <c r="AR9">
        <f>138.49675</f>
        <v>138.49674999999999</v>
      </c>
      <c r="AS9">
        <f>80.4066</f>
        <v>80.406599999999997</v>
      </c>
      <c r="AT9">
        <f>35.54574</f>
        <v>35.545740000000002</v>
      </c>
      <c r="AU9">
        <f>46.5</f>
        <v>46.5</v>
      </c>
      <c r="AV9">
        <f>77.149</f>
        <v>77.149000000000001</v>
      </c>
      <c r="AW9">
        <f>13.658526</f>
        <v>13.658526</v>
      </c>
      <c r="AX9">
        <f>39.821888</f>
        <v>39.821888000000001</v>
      </c>
      <c r="AY9">
        <f>41.85</f>
        <v>41.85</v>
      </c>
      <c r="AZ9">
        <f>42.21175013</f>
        <v>42.211750129999999</v>
      </c>
      <c r="BA9">
        <f>78.08894694</f>
        <v>78.08894694</v>
      </c>
      <c r="BB9">
        <f>32.60858132</f>
        <v>32.608581319999999</v>
      </c>
      <c r="BC9">
        <f>26.14999619</f>
        <v>26.14999619</v>
      </c>
      <c r="BD9">
        <f>104.1475944</f>
        <v>104.1475944</v>
      </c>
      <c r="BE9">
        <f>24.50999733</f>
        <v>24.509997330000001</v>
      </c>
      <c r="BF9">
        <f>57.48304965</f>
        <v>57.483049649999998</v>
      </c>
      <c r="BG9">
        <f>34.98900041</f>
        <v>34.989000410000003</v>
      </c>
      <c r="BH9">
        <f>62.84375968</f>
        <v>62.843759679999998</v>
      </c>
      <c r="BI9">
        <f>57.42347682</f>
        <v>57.423476819999998</v>
      </c>
      <c r="BJ9">
        <f>71.53162723</f>
        <v>71.531627229999998</v>
      </c>
      <c r="BK9">
        <f>10.75400099</f>
        <v>10.75400099</v>
      </c>
      <c r="BL9">
        <f>6.831760033</f>
        <v>6.8317600330000001</v>
      </c>
      <c r="BM9">
        <f>26.36749517</f>
        <v>26.367495170000002</v>
      </c>
      <c r="BN9">
        <f>20.6001917</f>
        <v>20.6001917</v>
      </c>
      <c r="BO9">
        <f>37.62630093</f>
        <v>37.626300929999999</v>
      </c>
      <c r="BP9">
        <f>123.9434938</f>
        <v>123.9434938</v>
      </c>
      <c r="BQ9">
        <f>25.77722126</f>
        <v>25.777221260000001</v>
      </c>
      <c r="BR9">
        <f>39.87599751</f>
        <v>39.875997509999998</v>
      </c>
      <c r="BS9">
        <f>16.84270267</f>
        <v>16.842702670000001</v>
      </c>
      <c r="BT9">
        <f>128.6256844</f>
        <v>128.62568440000001</v>
      </c>
      <c r="BU9">
        <f>36.7380954</f>
        <v>36.738095399999999</v>
      </c>
      <c r="BV9">
        <f>14.75300153</f>
        <v>14.753001530000001</v>
      </c>
      <c r="BW9">
        <f>15.00326667</f>
        <v>15.00326667</v>
      </c>
      <c r="BX9">
        <f>118.7574965</f>
        <v>118.7574965</v>
      </c>
      <c r="BY9">
        <f>9.70000054</f>
        <v>9.7000005399999996</v>
      </c>
    </row>
    <row r="10" spans="1:77" x14ac:dyDescent="0.25">
      <c r="A10" t="str">
        <f>"    Health Care"</f>
        <v xml:space="preserve">    Health Care</v>
      </c>
      <c r="B10" t="str">
        <f>""</f>
        <v/>
      </c>
      <c r="E10" t="str">
        <f t="shared" si="0"/>
        <v>Static</v>
      </c>
      <c r="F10">
        <f t="shared" ca="1" si="1"/>
        <v>16.125</v>
      </c>
      <c r="G10">
        <f t="shared" ca="1" si="1"/>
        <v>17.301549999999999</v>
      </c>
      <c r="H10">
        <f t="shared" ca="1" si="1"/>
        <v>12.75</v>
      </c>
      <c r="I10">
        <f t="shared" ca="1" si="1"/>
        <v>36.040799999999997</v>
      </c>
      <c r="J10">
        <f t="shared" ca="1" si="1"/>
        <v>59.081877499999997</v>
      </c>
      <c r="K10">
        <f t="shared" ca="1" si="1"/>
        <v>25.083600000000001</v>
      </c>
      <c r="L10">
        <f t="shared" ca="1" si="1"/>
        <v>8.6720000000000006</v>
      </c>
      <c r="M10">
        <f t="shared" ca="1" si="1"/>
        <v>23.2</v>
      </c>
      <c r="N10">
        <f t="shared" ca="1" si="1"/>
        <v>25.65</v>
      </c>
      <c r="O10">
        <f t="shared" ca="1" si="1"/>
        <v>13</v>
      </c>
      <c r="P10">
        <f t="shared" ca="1" si="2"/>
        <v>4.5999999999999996</v>
      </c>
      <c r="Q10">
        <f t="shared" ca="1" si="2"/>
        <v>29.399999179999998</v>
      </c>
      <c r="R10">
        <f t="shared" ca="1" si="2"/>
        <v>21.200000989999999</v>
      </c>
      <c r="S10">
        <f t="shared" ca="1" si="2"/>
        <v>18.600001089999999</v>
      </c>
      <c r="T10">
        <f t="shared" ca="1" si="2"/>
        <v>4</v>
      </c>
      <c r="U10">
        <f t="shared" ca="1" si="2"/>
        <v>23.062581529999999</v>
      </c>
      <c r="V10">
        <f t="shared" ca="1" si="2"/>
        <v>59.940794420000003</v>
      </c>
      <c r="W10">
        <f t="shared" ca="1" si="2"/>
        <v>6.9999992640000004</v>
      </c>
      <c r="X10">
        <f t="shared" ca="1" si="2"/>
        <v>10.899999790000001</v>
      </c>
      <c r="Y10">
        <f t="shared" ca="1" si="2"/>
        <v>26.899997989999999</v>
      </c>
      <c r="Z10">
        <f t="shared" ca="1" si="3"/>
        <v>16.16865477</v>
      </c>
      <c r="AA10">
        <f t="shared" ca="1" si="3"/>
        <v>1.30148866</v>
      </c>
      <c r="AB10">
        <f t="shared" ca="1" si="3"/>
        <v>0.50000007999999996</v>
      </c>
      <c r="AC10">
        <f t="shared" ca="1" si="3"/>
        <v>13.416401069999999</v>
      </c>
      <c r="AD10">
        <f t="shared" ca="1" si="3"/>
        <v>20.90000096</v>
      </c>
      <c r="AE10">
        <f t="shared" ca="1" si="3"/>
        <v>5.7000005299999996</v>
      </c>
      <c r="AF10">
        <f t="shared" ca="1" si="3"/>
        <v>6.0000006880000001</v>
      </c>
      <c r="AG10">
        <f t="shared" ca="1" si="3"/>
        <v>22.799999589999999</v>
      </c>
      <c r="AH10">
        <f t="shared" ca="1" si="3"/>
        <v>44.250004820000001</v>
      </c>
      <c r="AI10">
        <f t="shared" ca="1" si="3"/>
        <v>14.25000159</v>
      </c>
      <c r="AJ10">
        <f t="shared" ca="1" si="4"/>
        <v>45.965004550000003</v>
      </c>
      <c r="AK10">
        <f t="shared" ca="1" si="4"/>
        <v>25.000001900000001</v>
      </c>
      <c r="AL10">
        <f t="shared" ca="1" si="4"/>
        <v>29.653003510000001</v>
      </c>
      <c r="AM10">
        <f t="shared" ca="1" si="4"/>
        <v>0.40000006500000002</v>
      </c>
      <c r="AN10">
        <f t="shared" ca="1" si="4"/>
        <v>6.7308411279999998</v>
      </c>
      <c r="AO10">
        <f t="shared" ca="1" si="4"/>
        <v>7.7499995689999999</v>
      </c>
      <c r="AP10">
        <f>16.125</f>
        <v>16.125</v>
      </c>
      <c r="AQ10">
        <f>17.30155</f>
        <v>17.301549999999999</v>
      </c>
      <c r="AR10">
        <f>12.75</f>
        <v>12.75</v>
      </c>
      <c r="AS10">
        <f>36.0408</f>
        <v>36.040799999999997</v>
      </c>
      <c r="AT10">
        <f>59.0818775</f>
        <v>59.081877499999997</v>
      </c>
      <c r="AU10">
        <f>25.0836</f>
        <v>25.083600000000001</v>
      </c>
      <c r="AV10">
        <f>8.672</f>
        <v>8.6720000000000006</v>
      </c>
      <c r="AW10">
        <f>23.2</f>
        <v>23.2</v>
      </c>
      <c r="AX10">
        <f>25.65</f>
        <v>25.65</v>
      </c>
      <c r="AY10">
        <f>13</f>
        <v>13</v>
      </c>
      <c r="AZ10">
        <f>4.6</f>
        <v>4.5999999999999996</v>
      </c>
      <c r="BA10">
        <f>29.39999918</f>
        <v>29.399999179999998</v>
      </c>
      <c r="BB10">
        <f>21.20000099</f>
        <v>21.200000989999999</v>
      </c>
      <c r="BC10">
        <f>18.60000109</f>
        <v>18.600001089999999</v>
      </c>
      <c r="BD10">
        <f>4</f>
        <v>4</v>
      </c>
      <c r="BE10">
        <f>23.06258153</f>
        <v>23.062581529999999</v>
      </c>
      <c r="BF10">
        <f>59.94079442</f>
        <v>59.940794420000003</v>
      </c>
      <c r="BG10">
        <f>6.999999264</f>
        <v>6.9999992640000004</v>
      </c>
      <c r="BH10">
        <f>10.89999979</f>
        <v>10.899999790000001</v>
      </c>
      <c r="BI10">
        <f>26.89999799</f>
        <v>26.899997989999999</v>
      </c>
      <c r="BJ10">
        <f>16.16865477</f>
        <v>16.16865477</v>
      </c>
      <c r="BK10">
        <f>1.30148866</f>
        <v>1.30148866</v>
      </c>
      <c r="BL10">
        <f>0.50000008</f>
        <v>0.50000007999999996</v>
      </c>
      <c r="BM10">
        <f>13.41640107</f>
        <v>13.416401069999999</v>
      </c>
      <c r="BN10">
        <f>20.90000096</f>
        <v>20.90000096</v>
      </c>
      <c r="BO10">
        <f>5.70000053</f>
        <v>5.7000005299999996</v>
      </c>
      <c r="BP10">
        <f>6.000000688</f>
        <v>6.0000006880000001</v>
      </c>
      <c r="BQ10">
        <f>22.79999959</f>
        <v>22.799999589999999</v>
      </c>
      <c r="BR10">
        <f>44.25000482</f>
        <v>44.250004820000001</v>
      </c>
      <c r="BS10">
        <f>14.25000159</f>
        <v>14.25000159</v>
      </c>
      <c r="BT10">
        <f>45.96500455</f>
        <v>45.965004550000003</v>
      </c>
      <c r="BU10">
        <f>25.0000019</f>
        <v>25.000001900000001</v>
      </c>
      <c r="BV10">
        <f>29.65300351</f>
        <v>29.653003510000001</v>
      </c>
      <c r="BW10">
        <f>0.400000065</f>
        <v>0.40000006500000002</v>
      </c>
      <c r="BX10">
        <f>6.730841128</f>
        <v>6.7308411279999998</v>
      </c>
      <c r="BY10">
        <f>7.749999569</f>
        <v>7.7499995689999999</v>
      </c>
    </row>
    <row r="11" spans="1:77" x14ac:dyDescent="0.25">
      <c r="A11" t="str">
        <f>"    Industrials"</f>
        <v xml:space="preserve">    Industrials</v>
      </c>
      <c r="B11" t="str">
        <f>""</f>
        <v/>
      </c>
      <c r="E11" t="str">
        <f t="shared" si="0"/>
        <v>Static</v>
      </c>
      <c r="F11">
        <f t="shared" ca="1" si="1"/>
        <v>28.8916</v>
      </c>
      <c r="G11">
        <f t="shared" ca="1" si="1"/>
        <v>66.947999760000002</v>
      </c>
      <c r="H11">
        <f t="shared" ca="1" si="1"/>
        <v>18.307541799999999</v>
      </c>
      <c r="I11">
        <f t="shared" ca="1" si="1"/>
        <v>17.88655</v>
      </c>
      <c r="J11">
        <f t="shared" ca="1" si="1"/>
        <v>25.676600000000001</v>
      </c>
      <c r="K11">
        <f t="shared" ca="1" si="1"/>
        <v>11.3</v>
      </c>
      <c r="L11">
        <f t="shared" ca="1" si="1"/>
        <v>27.1416</v>
      </c>
      <c r="M11">
        <f t="shared" ca="1" si="1"/>
        <v>36.932400000000001</v>
      </c>
      <c r="N11">
        <f t="shared" ca="1" si="1"/>
        <v>31.646599999999999</v>
      </c>
      <c r="O11">
        <f t="shared" ca="1" si="1"/>
        <v>11.1782</v>
      </c>
      <c r="P11">
        <f t="shared" ca="1" si="2"/>
        <v>10.87537</v>
      </c>
      <c r="Q11">
        <f t="shared" ca="1" si="2"/>
        <v>8.6437009660000008</v>
      </c>
      <c r="R11">
        <f t="shared" ca="1" si="2"/>
        <v>58.250000319999998</v>
      </c>
      <c r="S11">
        <f t="shared" ca="1" si="2"/>
        <v>8.4499293400000006</v>
      </c>
      <c r="T11">
        <f t="shared" ca="1" si="2"/>
        <v>21.268257999999999</v>
      </c>
      <c r="U11">
        <f t="shared" ca="1" si="2"/>
        <v>60.589853079999997</v>
      </c>
      <c r="V11">
        <f t="shared" ca="1" si="2"/>
        <v>17.012598929999999</v>
      </c>
      <c r="W11">
        <f t="shared" ca="1" si="2"/>
        <v>18.79999999</v>
      </c>
      <c r="X11">
        <f t="shared" ca="1" si="2"/>
        <v>11.382701150000001</v>
      </c>
      <c r="Y11">
        <f t="shared" ca="1" si="2"/>
        <v>28.522330090000001</v>
      </c>
      <c r="Z11">
        <f t="shared" ca="1" si="3"/>
        <v>16.808701429999999</v>
      </c>
      <c r="AA11">
        <f t="shared" ca="1" si="3"/>
        <v>2.3000001640000001</v>
      </c>
      <c r="AB11">
        <f t="shared" ca="1" si="3"/>
        <v>0.7</v>
      </c>
      <c r="AC11">
        <f t="shared" ca="1" si="3"/>
        <v>9.0372014749999998</v>
      </c>
      <c r="AD11">
        <f t="shared" ca="1" si="3"/>
        <v>17.000002330000001</v>
      </c>
      <c r="AE11">
        <f t="shared" ca="1" si="3"/>
        <v>11.00000019</v>
      </c>
      <c r="AF11">
        <f t="shared" ca="1" si="3"/>
        <v>17.995792590000001</v>
      </c>
      <c r="AG11">
        <f t="shared" ca="1" si="3"/>
        <v>44.235506289999996</v>
      </c>
      <c r="AH11">
        <f t="shared" ca="1" si="3"/>
        <v>42.900203730000001</v>
      </c>
      <c r="AI11">
        <f t="shared" ca="1" si="3"/>
        <v>16.20000113</v>
      </c>
      <c r="AJ11">
        <f t="shared" ca="1" si="4"/>
        <v>11.05518165</v>
      </c>
      <c r="AK11">
        <f t="shared" ca="1" si="4"/>
        <v>7.6532001010000004</v>
      </c>
      <c r="AL11">
        <f t="shared" ca="1" si="4"/>
        <v>34.149992130000001</v>
      </c>
      <c r="AM11">
        <f t="shared" ca="1" si="4"/>
        <v>11.967851749999999</v>
      </c>
      <c r="AN11">
        <f t="shared" ca="1" si="4"/>
        <v>11.197041029999999</v>
      </c>
      <c r="AO11">
        <f t="shared" ca="1" si="4"/>
        <v>4.8241002569999996</v>
      </c>
      <c r="AP11">
        <f>28.8916</f>
        <v>28.8916</v>
      </c>
      <c r="AQ11">
        <f>66.94799976</f>
        <v>66.947999760000002</v>
      </c>
      <c r="AR11">
        <f>18.3075418</f>
        <v>18.307541799999999</v>
      </c>
      <c r="AS11">
        <f>17.88655</f>
        <v>17.88655</v>
      </c>
      <c r="AT11">
        <f>25.6766</f>
        <v>25.676600000000001</v>
      </c>
      <c r="AU11">
        <f>11.3</f>
        <v>11.3</v>
      </c>
      <c r="AV11">
        <f>27.1416</f>
        <v>27.1416</v>
      </c>
      <c r="AW11">
        <f>36.9324</f>
        <v>36.932400000000001</v>
      </c>
      <c r="AX11">
        <f>31.6466</f>
        <v>31.646599999999999</v>
      </c>
      <c r="AY11">
        <f>11.1782</f>
        <v>11.1782</v>
      </c>
      <c r="AZ11">
        <f>10.87537</f>
        <v>10.87537</v>
      </c>
      <c r="BA11">
        <f>8.643700966</f>
        <v>8.6437009660000008</v>
      </c>
      <c r="BB11">
        <f>58.25000032</f>
        <v>58.250000319999998</v>
      </c>
      <c r="BC11">
        <f>8.44992934</f>
        <v>8.4499293400000006</v>
      </c>
      <c r="BD11">
        <f>21.268258</f>
        <v>21.268257999999999</v>
      </c>
      <c r="BE11">
        <f>60.58985308</f>
        <v>60.589853079999997</v>
      </c>
      <c r="BF11">
        <f>17.01259893</f>
        <v>17.012598929999999</v>
      </c>
      <c r="BG11">
        <f>18.79999999</f>
        <v>18.79999999</v>
      </c>
      <c r="BH11">
        <f>11.38270115</f>
        <v>11.382701150000001</v>
      </c>
      <c r="BI11">
        <f>28.52233009</f>
        <v>28.522330090000001</v>
      </c>
      <c r="BJ11">
        <f>16.80870143</f>
        <v>16.808701429999999</v>
      </c>
      <c r="BK11">
        <f>2.300000164</f>
        <v>2.3000001640000001</v>
      </c>
      <c r="BL11">
        <f>0.7</f>
        <v>0.7</v>
      </c>
      <c r="BM11">
        <f>9.037201475</f>
        <v>9.0372014749999998</v>
      </c>
      <c r="BN11">
        <f>17.00000233</f>
        <v>17.000002330000001</v>
      </c>
      <c r="BO11">
        <f>11.00000019</f>
        <v>11.00000019</v>
      </c>
      <c r="BP11">
        <f>17.99579259</f>
        <v>17.995792590000001</v>
      </c>
      <c r="BQ11">
        <f>44.23550629</f>
        <v>44.235506289999996</v>
      </c>
      <c r="BR11">
        <f>42.90020373</f>
        <v>42.900203730000001</v>
      </c>
      <c r="BS11">
        <f>16.20000113</f>
        <v>16.20000113</v>
      </c>
      <c r="BT11">
        <f>11.05518165</f>
        <v>11.05518165</v>
      </c>
      <c r="BU11">
        <f>7.653200101</f>
        <v>7.6532001010000004</v>
      </c>
      <c r="BV11">
        <f>34.14999213</f>
        <v>34.149992130000001</v>
      </c>
      <c r="BW11">
        <f>11.96785175</f>
        <v>11.967851749999999</v>
      </c>
      <c r="BX11">
        <f>11.19704103</f>
        <v>11.197041029999999</v>
      </c>
      <c r="BY11">
        <f>4.824100257</f>
        <v>4.8241002569999996</v>
      </c>
    </row>
    <row r="12" spans="1:77" x14ac:dyDescent="0.25">
      <c r="A12" t="str">
        <f>"    Information Technology"</f>
        <v xml:space="preserve">    Information Technology</v>
      </c>
      <c r="B12" t="str">
        <f>""</f>
        <v/>
      </c>
      <c r="E12" t="str">
        <f t="shared" si="0"/>
        <v>Static</v>
      </c>
      <c r="F12">
        <f t="shared" ca="1" si="1"/>
        <v>19.7</v>
      </c>
      <c r="G12">
        <f t="shared" ca="1" si="1"/>
        <v>93.813000000000002</v>
      </c>
      <c r="H12">
        <f t="shared" ca="1" si="1"/>
        <v>136.05000000000001</v>
      </c>
      <c r="I12">
        <f t="shared" ca="1" si="1"/>
        <v>61.75</v>
      </c>
      <c r="J12">
        <f t="shared" ca="1" si="1"/>
        <v>22.780884</v>
      </c>
      <c r="K12">
        <f t="shared" ca="1" si="1"/>
        <v>136.21</v>
      </c>
      <c r="L12">
        <f t="shared" ca="1" si="1"/>
        <v>134.44999999999999</v>
      </c>
      <c r="M12">
        <f t="shared" ca="1" si="1"/>
        <v>40.416699999999999</v>
      </c>
      <c r="N12">
        <f t="shared" ca="1" si="1"/>
        <v>21.04</v>
      </c>
      <c r="O12">
        <f t="shared" ca="1" si="1"/>
        <v>36.94</v>
      </c>
      <c r="P12">
        <f t="shared" ca="1" si="2"/>
        <v>94.500015750000003</v>
      </c>
      <c r="Q12">
        <f t="shared" ca="1" si="2"/>
        <v>30.150000160000001</v>
      </c>
      <c r="R12">
        <f t="shared" ca="1" si="2"/>
        <v>9.8030002599999992</v>
      </c>
      <c r="S12">
        <f t="shared" ca="1" si="2"/>
        <v>34.257262490000002</v>
      </c>
      <c r="T12">
        <f t="shared" ca="1" si="2"/>
        <v>129.00001209999999</v>
      </c>
      <c r="U12">
        <f t="shared" ca="1" si="2"/>
        <v>33.40499981</v>
      </c>
      <c r="V12">
        <f t="shared" ca="1" si="2"/>
        <v>40.250003200000002</v>
      </c>
      <c r="W12">
        <f t="shared" ca="1" si="2"/>
        <v>77.049988619999993</v>
      </c>
      <c r="X12">
        <f t="shared" ca="1" si="2"/>
        <v>154.94015429999999</v>
      </c>
      <c r="Y12">
        <f t="shared" ca="1" si="2"/>
        <v>35.897000730000002</v>
      </c>
      <c r="Z12">
        <f t="shared" ca="1" si="3"/>
        <v>26.749998120000001</v>
      </c>
      <c r="AA12">
        <f t="shared" ca="1" si="3"/>
        <v>1.2499998409999999</v>
      </c>
      <c r="AB12">
        <f t="shared" ca="1" si="3"/>
        <v>50.699978739999999</v>
      </c>
      <c r="AC12">
        <f t="shared" ca="1" si="3"/>
        <v>25.942996449999999</v>
      </c>
      <c r="AD12">
        <f t="shared" ca="1" si="3"/>
        <v>23.00000253</v>
      </c>
      <c r="AE12">
        <f t="shared" ca="1" si="3"/>
        <v>68.100003509999993</v>
      </c>
      <c r="AF12">
        <f t="shared" ca="1" si="3"/>
        <v>77.000005180000002</v>
      </c>
      <c r="AG12">
        <f t="shared" ca="1" si="3"/>
        <v>31.924992809999999</v>
      </c>
      <c r="AH12">
        <f t="shared" ca="1" si="3"/>
        <v>44.899994309999997</v>
      </c>
      <c r="AI12">
        <f t="shared" ca="1" si="3"/>
        <v>74.124998230000003</v>
      </c>
      <c r="AJ12">
        <f t="shared" ca="1" si="4"/>
        <v>153.49996340000001</v>
      </c>
      <c r="AK12">
        <f t="shared" ca="1" si="4"/>
        <v>53.856852089999997</v>
      </c>
      <c r="AL12">
        <f t="shared" ca="1" si="4"/>
        <v>24.499995389999999</v>
      </c>
      <c r="AM12">
        <f t="shared" ca="1" si="4"/>
        <v>8.9999970719999993</v>
      </c>
      <c r="AN12">
        <f t="shared" ca="1" si="4"/>
        <v>45.500001760000004</v>
      </c>
      <c r="AO12">
        <f t="shared" ca="1" si="4"/>
        <v>4.5410002589999996</v>
      </c>
      <c r="AP12">
        <f>19.7</f>
        <v>19.7</v>
      </c>
      <c r="AQ12">
        <f>93.813</f>
        <v>93.813000000000002</v>
      </c>
      <c r="AR12">
        <f>136.05</f>
        <v>136.05000000000001</v>
      </c>
      <c r="AS12">
        <f>61.75</f>
        <v>61.75</v>
      </c>
      <c r="AT12">
        <f>22.780884</f>
        <v>22.780884</v>
      </c>
      <c r="AU12">
        <f>136.21</f>
        <v>136.21</v>
      </c>
      <c r="AV12">
        <f>134.45</f>
        <v>134.44999999999999</v>
      </c>
      <c r="AW12">
        <f>40.4167</f>
        <v>40.416699999999999</v>
      </c>
      <c r="AX12">
        <f>21.04</f>
        <v>21.04</v>
      </c>
      <c r="AY12">
        <f>36.94</f>
        <v>36.94</v>
      </c>
      <c r="AZ12">
        <f>94.50001575</f>
        <v>94.500015750000003</v>
      </c>
      <c r="BA12">
        <f>30.15000016</f>
        <v>30.150000160000001</v>
      </c>
      <c r="BB12">
        <f>9.80300026</f>
        <v>9.8030002599999992</v>
      </c>
      <c r="BC12">
        <f>34.25726249</f>
        <v>34.257262490000002</v>
      </c>
      <c r="BD12">
        <f>129.0000121</f>
        <v>129.00001209999999</v>
      </c>
      <c r="BE12">
        <f>33.40499981</f>
        <v>33.40499981</v>
      </c>
      <c r="BF12">
        <f>40.2500032</f>
        <v>40.250003200000002</v>
      </c>
      <c r="BG12">
        <f>77.04998862</f>
        <v>77.049988619999993</v>
      </c>
      <c r="BH12">
        <f>154.9401543</f>
        <v>154.94015429999999</v>
      </c>
      <c r="BI12">
        <f>35.89700073</f>
        <v>35.897000730000002</v>
      </c>
      <c r="BJ12">
        <f>26.74999812</f>
        <v>26.749998120000001</v>
      </c>
      <c r="BK12">
        <f>1.249999841</f>
        <v>1.2499998409999999</v>
      </c>
      <c r="BL12">
        <f>50.69997874</f>
        <v>50.699978739999999</v>
      </c>
      <c r="BM12">
        <f>25.94299645</f>
        <v>25.942996449999999</v>
      </c>
      <c r="BN12">
        <f>23.00000253</f>
        <v>23.00000253</v>
      </c>
      <c r="BO12">
        <f>68.10000351</f>
        <v>68.100003509999993</v>
      </c>
      <c r="BP12">
        <f>77.00000518</f>
        <v>77.000005180000002</v>
      </c>
      <c r="BQ12">
        <f>31.92499281</f>
        <v>31.924992809999999</v>
      </c>
      <c r="BR12">
        <f>44.89999431</f>
        <v>44.899994309999997</v>
      </c>
      <c r="BS12">
        <f>74.12499823</f>
        <v>74.124998230000003</v>
      </c>
      <c r="BT12">
        <f>153.4999634</f>
        <v>153.49996340000001</v>
      </c>
      <c r="BU12">
        <f>53.85685209</f>
        <v>53.856852089999997</v>
      </c>
      <c r="BV12">
        <f>24.49999539</f>
        <v>24.499995389999999</v>
      </c>
      <c r="BW12">
        <f>8.999997072</f>
        <v>8.9999970719999993</v>
      </c>
      <c r="BX12">
        <f>45.50000176</f>
        <v>45.500001760000004</v>
      </c>
      <c r="BY12">
        <f>4.541000259</f>
        <v>4.5410002589999996</v>
      </c>
    </row>
    <row r="13" spans="1:77" x14ac:dyDescent="0.25">
      <c r="A13" t="str">
        <f>"    Materials"</f>
        <v xml:space="preserve">    Materials</v>
      </c>
      <c r="B13" t="str">
        <f>""</f>
        <v/>
      </c>
      <c r="E13" t="str">
        <f t="shared" si="0"/>
        <v>Static</v>
      </c>
      <c r="F13">
        <f t="shared" ref="F13:O21" ca="1" si="5">HLOOKUP(INDIRECT(ADDRESS(2,COLUMN())),OFFSET($AP$2,0,0,ROW()-1,36),ROW()-1,FALSE)</f>
        <v>2</v>
      </c>
      <c r="G13">
        <f t="shared" ca="1" si="5"/>
        <v>3.5</v>
      </c>
      <c r="H13">
        <f t="shared" ca="1" si="5"/>
        <v>4.9107915289999999</v>
      </c>
      <c r="I13">
        <f t="shared" ca="1" si="5"/>
        <v>3.7132000000000001</v>
      </c>
      <c r="J13">
        <f t="shared" ca="1" si="5"/>
        <v>5</v>
      </c>
      <c r="K13">
        <f t="shared" ca="1" si="5"/>
        <v>1.623</v>
      </c>
      <c r="L13">
        <f t="shared" ca="1" si="5"/>
        <v>8.6162817500000006</v>
      </c>
      <c r="M13">
        <f t="shared" ca="1" si="5"/>
        <v>2.5</v>
      </c>
      <c r="N13">
        <f t="shared" ca="1" si="5"/>
        <v>16.5</v>
      </c>
      <c r="O13">
        <f t="shared" ca="1" si="5"/>
        <v>2</v>
      </c>
      <c r="P13">
        <f t="shared" ref="P13:Y21" ca="1" si="6">HLOOKUP(INDIRECT(ADDRESS(2,COLUMN())),OFFSET($AP$2,0,0,ROW()-1,36),ROW()-1,FALSE)</f>
        <v>7.0941001029999997</v>
      </c>
      <c r="Q13">
        <f t="shared" ca="1" si="6"/>
        <v>0.1</v>
      </c>
      <c r="R13">
        <f t="shared" ca="1" si="6"/>
        <v>10.813498989999999</v>
      </c>
      <c r="S13">
        <f t="shared" ca="1" si="6"/>
        <v>6.4000003850000002</v>
      </c>
      <c r="T13">
        <f t="shared" ca="1" si="6"/>
        <v>10.05287495</v>
      </c>
      <c r="U13">
        <f t="shared" ca="1" si="6"/>
        <v>13.200000190000001</v>
      </c>
      <c r="V13">
        <f t="shared" ca="1" si="6"/>
        <v>13.0000009</v>
      </c>
      <c r="W13">
        <f t="shared" ca="1" si="6"/>
        <v>4.9000001119999999</v>
      </c>
      <c r="X13">
        <f t="shared" ca="1" si="6"/>
        <v>6.8295919749999996</v>
      </c>
      <c r="Y13">
        <f t="shared" ca="1" si="6"/>
        <v>18.520999750000001</v>
      </c>
      <c r="Z13">
        <f t="shared" ref="Z13:AI21" ca="1" si="7">HLOOKUP(INDIRECT(ADDRESS(2,COLUMN())),OFFSET($AP$2,0,0,ROW()-1,36),ROW()-1,FALSE)</f>
        <v>0.15000004</v>
      </c>
      <c r="AA13">
        <f t="shared" ca="1" si="7"/>
        <v>0.50000006500000005</v>
      </c>
      <c r="AB13" t="str">
        <f t="shared" ca="1" si="7"/>
        <v/>
      </c>
      <c r="AC13" t="str">
        <f t="shared" ca="1" si="7"/>
        <v/>
      </c>
      <c r="AD13">
        <f t="shared" ca="1" si="7"/>
        <v>1.0000001599999999</v>
      </c>
      <c r="AE13">
        <f t="shared" ca="1" si="7"/>
        <v>0.50000007999999996</v>
      </c>
      <c r="AF13">
        <f t="shared" ca="1" si="7"/>
        <v>7.2024998719999997</v>
      </c>
      <c r="AG13">
        <f t="shared" ca="1" si="7"/>
        <v>9.5390006679999999</v>
      </c>
      <c r="AH13">
        <f t="shared" ca="1" si="7"/>
        <v>6.1999995639999996</v>
      </c>
      <c r="AI13">
        <f t="shared" ca="1" si="7"/>
        <v>2.0000003199999998</v>
      </c>
      <c r="AJ13">
        <f t="shared" ref="AJ13:AO21" ca="1" si="8">HLOOKUP(INDIRECT(ADDRESS(2,COLUMN())),OFFSET($AP$2,0,0,ROW()-1,36),ROW()-1,FALSE)</f>
        <v>6.9405880690000004</v>
      </c>
      <c r="AK13">
        <f t="shared" ca="1" si="8"/>
        <v>2</v>
      </c>
      <c r="AL13">
        <f t="shared" ca="1" si="8"/>
        <v>6.8000009690000001</v>
      </c>
      <c r="AM13" t="str">
        <f t="shared" ca="1" si="8"/>
        <v/>
      </c>
      <c r="AN13">
        <f t="shared" ca="1" si="8"/>
        <v>3.2880974040000002</v>
      </c>
      <c r="AO13">
        <f t="shared" ca="1" si="8"/>
        <v>2.5106210839999998</v>
      </c>
      <c r="AP13">
        <f>2</f>
        <v>2</v>
      </c>
      <c r="AQ13">
        <f>3.5</f>
        <v>3.5</v>
      </c>
      <c r="AR13">
        <f>4.910791529</f>
        <v>4.9107915289999999</v>
      </c>
      <c r="AS13">
        <f>3.7132</f>
        <v>3.7132000000000001</v>
      </c>
      <c r="AT13">
        <f>5</f>
        <v>5</v>
      </c>
      <c r="AU13">
        <f>1.623</f>
        <v>1.623</v>
      </c>
      <c r="AV13">
        <f>8.61628175</f>
        <v>8.6162817500000006</v>
      </c>
      <c r="AW13">
        <f>2.5</f>
        <v>2.5</v>
      </c>
      <c r="AX13">
        <f>16.5</f>
        <v>16.5</v>
      </c>
      <c r="AY13">
        <f>2</f>
        <v>2</v>
      </c>
      <c r="AZ13">
        <f>7.094100103</f>
        <v>7.0941001029999997</v>
      </c>
      <c r="BA13">
        <f>0.1</f>
        <v>0.1</v>
      </c>
      <c r="BB13">
        <f>10.81349899</f>
        <v>10.813498989999999</v>
      </c>
      <c r="BC13">
        <f>6.400000385</f>
        <v>6.4000003850000002</v>
      </c>
      <c r="BD13">
        <f>10.05287495</f>
        <v>10.05287495</v>
      </c>
      <c r="BE13">
        <f>13.20000019</f>
        <v>13.200000190000001</v>
      </c>
      <c r="BF13">
        <f>13.0000009</f>
        <v>13.0000009</v>
      </c>
      <c r="BG13">
        <f>4.900000112</f>
        <v>4.9000001119999999</v>
      </c>
      <c r="BH13">
        <f>6.829591975</f>
        <v>6.8295919749999996</v>
      </c>
      <c r="BI13">
        <f>18.52099975</f>
        <v>18.520999750000001</v>
      </c>
      <c r="BJ13">
        <f>0.15000004</f>
        <v>0.15000004</v>
      </c>
      <c r="BK13">
        <f>0.500000065</f>
        <v>0.50000006500000005</v>
      </c>
      <c r="BL13" t="str">
        <f>""</f>
        <v/>
      </c>
      <c r="BM13" t="str">
        <f>""</f>
        <v/>
      </c>
      <c r="BN13">
        <f>1.00000016</f>
        <v>1.0000001599999999</v>
      </c>
      <c r="BO13">
        <f>0.50000008</f>
        <v>0.50000007999999996</v>
      </c>
      <c r="BP13">
        <f>7.202499872</f>
        <v>7.2024998719999997</v>
      </c>
      <c r="BQ13">
        <f>9.539000668</f>
        <v>9.5390006679999999</v>
      </c>
      <c r="BR13">
        <f>6.199999564</f>
        <v>6.1999995639999996</v>
      </c>
      <c r="BS13">
        <f>2.00000032</f>
        <v>2.0000003199999998</v>
      </c>
      <c r="BT13">
        <f>6.940588069</f>
        <v>6.9405880690000004</v>
      </c>
      <c r="BU13">
        <f>2</f>
        <v>2</v>
      </c>
      <c r="BV13">
        <f>6.800000969</f>
        <v>6.8000009690000001</v>
      </c>
      <c r="BW13" t="str">
        <f>""</f>
        <v/>
      </c>
      <c r="BX13">
        <f>3.288097404</f>
        <v>3.2880974040000002</v>
      </c>
      <c r="BY13">
        <f>2.510621084</f>
        <v>2.5106210839999998</v>
      </c>
    </row>
    <row r="14" spans="1:77" x14ac:dyDescent="0.25">
      <c r="A14" t="str">
        <f>"    Real Estate"</f>
        <v xml:space="preserve">    Real Estate</v>
      </c>
      <c r="B14" t="str">
        <f>""</f>
        <v/>
      </c>
      <c r="E14" t="str">
        <f t="shared" si="0"/>
        <v>Static</v>
      </c>
      <c r="F14">
        <f t="shared" ca="1" si="5"/>
        <v>2.75</v>
      </c>
      <c r="G14" t="str">
        <f t="shared" ca="1" si="5"/>
        <v/>
      </c>
      <c r="H14">
        <f t="shared" ca="1" si="5"/>
        <v>2.8</v>
      </c>
      <c r="I14">
        <f t="shared" ca="1" si="5"/>
        <v>5.5</v>
      </c>
      <c r="J14">
        <f t="shared" ca="1" si="5"/>
        <v>5.5</v>
      </c>
      <c r="K14">
        <f t="shared" ca="1" si="5"/>
        <v>0.75</v>
      </c>
      <c r="L14" t="str">
        <f t="shared" ca="1" si="5"/>
        <v/>
      </c>
      <c r="M14">
        <f t="shared" ca="1" si="5"/>
        <v>2.7709000000000001</v>
      </c>
      <c r="N14" t="str">
        <f t="shared" ca="1" si="5"/>
        <v/>
      </c>
      <c r="O14" t="str">
        <f t="shared" ca="1" si="5"/>
        <v/>
      </c>
      <c r="P14" t="str">
        <f t="shared" ca="1" si="6"/>
        <v/>
      </c>
      <c r="Q14">
        <f t="shared" ca="1" si="6"/>
        <v>0.25</v>
      </c>
      <c r="R14">
        <f t="shared" ca="1" si="6"/>
        <v>3.5</v>
      </c>
      <c r="S14">
        <f t="shared" ca="1" si="6"/>
        <v>3.1290002600000002</v>
      </c>
      <c r="T14">
        <f t="shared" ca="1" si="6"/>
        <v>2</v>
      </c>
      <c r="U14" t="str">
        <f t="shared" ca="1" si="6"/>
        <v/>
      </c>
      <c r="V14">
        <f t="shared" ca="1" si="6"/>
        <v>3.0000004800000002</v>
      </c>
      <c r="W14">
        <f t="shared" ca="1" si="6"/>
        <v>1</v>
      </c>
      <c r="X14" t="str">
        <f t="shared" ca="1" si="6"/>
        <v/>
      </c>
      <c r="Y14">
        <f t="shared" ca="1" si="6"/>
        <v>0.25000003999999998</v>
      </c>
      <c r="Z14">
        <f t="shared" ca="1" si="7"/>
        <v>1.9000001449999999</v>
      </c>
      <c r="AA14">
        <f t="shared" ca="1" si="7"/>
        <v>0.50000007999999996</v>
      </c>
      <c r="AB14">
        <f t="shared" ca="1" si="7"/>
        <v>1.0000001599999999</v>
      </c>
      <c r="AC14">
        <f t="shared" ca="1" si="7"/>
        <v>0.25000003999999998</v>
      </c>
      <c r="AD14">
        <f t="shared" ca="1" si="7"/>
        <v>0.60000006500000003</v>
      </c>
      <c r="AE14">
        <f t="shared" ca="1" si="7"/>
        <v>1.60000016</v>
      </c>
      <c r="AF14" t="str">
        <f t="shared" ca="1" si="7"/>
        <v/>
      </c>
      <c r="AG14">
        <f t="shared" ca="1" si="7"/>
        <v>3.0500003200000001</v>
      </c>
      <c r="AH14">
        <f t="shared" ca="1" si="7"/>
        <v>0.50000006500000005</v>
      </c>
      <c r="AI14" t="str">
        <f t="shared" ca="1" si="7"/>
        <v/>
      </c>
      <c r="AJ14">
        <f t="shared" ca="1" si="8"/>
        <v>0.50000006500000005</v>
      </c>
      <c r="AK14">
        <f t="shared" ca="1" si="8"/>
        <v>1.5500002399999999</v>
      </c>
      <c r="AL14">
        <f t="shared" ca="1" si="8"/>
        <v>2.9000004650000002</v>
      </c>
      <c r="AM14" t="str">
        <f t="shared" ca="1" si="8"/>
        <v/>
      </c>
      <c r="AN14" t="str">
        <f t="shared" ca="1" si="8"/>
        <v/>
      </c>
      <c r="AO14">
        <f t="shared" ca="1" si="8"/>
        <v>1.0000001599999999</v>
      </c>
      <c r="AP14">
        <f>2.75</f>
        <v>2.75</v>
      </c>
      <c r="AQ14" t="str">
        <f>""</f>
        <v/>
      </c>
      <c r="AR14">
        <f>2.8</f>
        <v>2.8</v>
      </c>
      <c r="AS14">
        <f>5.5</f>
        <v>5.5</v>
      </c>
      <c r="AT14">
        <f>5.5</f>
        <v>5.5</v>
      </c>
      <c r="AU14">
        <f>0.75</f>
        <v>0.75</v>
      </c>
      <c r="AV14" t="str">
        <f>""</f>
        <v/>
      </c>
      <c r="AW14">
        <f>2.7709</f>
        <v>2.7709000000000001</v>
      </c>
      <c r="AX14" t="str">
        <f>""</f>
        <v/>
      </c>
      <c r="AY14" t="str">
        <f>""</f>
        <v/>
      </c>
      <c r="AZ14" t="str">
        <f>""</f>
        <v/>
      </c>
      <c r="BA14">
        <f>0.25</f>
        <v>0.25</v>
      </c>
      <c r="BB14">
        <f>3.5</f>
        <v>3.5</v>
      </c>
      <c r="BC14">
        <f>3.12900026</f>
        <v>3.1290002600000002</v>
      </c>
      <c r="BD14">
        <f>2</f>
        <v>2</v>
      </c>
      <c r="BE14" t="str">
        <f>""</f>
        <v/>
      </c>
      <c r="BF14">
        <f>3.00000048</f>
        <v>3.0000004800000002</v>
      </c>
      <c r="BG14">
        <f>1</f>
        <v>1</v>
      </c>
      <c r="BH14" t="str">
        <f>""</f>
        <v/>
      </c>
      <c r="BI14">
        <f>0.25000004</f>
        <v>0.25000003999999998</v>
      </c>
      <c r="BJ14">
        <f>1.900000145</f>
        <v>1.9000001449999999</v>
      </c>
      <c r="BK14">
        <f>0.50000008</f>
        <v>0.50000007999999996</v>
      </c>
      <c r="BL14">
        <f>1.00000016</f>
        <v>1.0000001599999999</v>
      </c>
      <c r="BM14">
        <f>0.25000004</f>
        <v>0.25000003999999998</v>
      </c>
      <c r="BN14">
        <f>0.600000065</f>
        <v>0.60000006500000003</v>
      </c>
      <c r="BO14">
        <f>1.60000016</f>
        <v>1.60000016</v>
      </c>
      <c r="BP14" t="str">
        <f>""</f>
        <v/>
      </c>
      <c r="BQ14">
        <f>3.05000032</f>
        <v>3.0500003200000001</v>
      </c>
      <c r="BR14">
        <f>0.500000065</f>
        <v>0.50000006500000005</v>
      </c>
      <c r="BS14" t="str">
        <f>""</f>
        <v/>
      </c>
      <c r="BT14">
        <f>0.500000065</f>
        <v>0.50000006500000005</v>
      </c>
      <c r="BU14">
        <f>1.55000024</f>
        <v>1.5500002399999999</v>
      </c>
      <c r="BV14">
        <f>2.900000465</f>
        <v>2.9000004650000002</v>
      </c>
      <c r="BW14" t="str">
        <f>""</f>
        <v/>
      </c>
      <c r="BX14" t="str">
        <f>""</f>
        <v/>
      </c>
      <c r="BY14">
        <f>1.00000016</f>
        <v>1.0000001599999999</v>
      </c>
    </row>
    <row r="15" spans="1:77" x14ac:dyDescent="0.25">
      <c r="A15" t="str">
        <f>"    Utilities"</f>
        <v xml:space="preserve">    Utilities</v>
      </c>
      <c r="B15" t="str">
        <f>""</f>
        <v/>
      </c>
      <c r="E15" t="str">
        <f t="shared" si="0"/>
        <v>Static</v>
      </c>
      <c r="F15">
        <f t="shared" ca="1" si="5"/>
        <v>4</v>
      </c>
      <c r="G15">
        <f t="shared" ca="1" si="5"/>
        <v>0.40400000000000003</v>
      </c>
      <c r="H15" t="str">
        <f t="shared" ca="1" si="5"/>
        <v/>
      </c>
      <c r="I15">
        <f t="shared" ca="1" si="5"/>
        <v>7.4999999999999997E-2</v>
      </c>
      <c r="J15">
        <f t="shared" ca="1" si="5"/>
        <v>2</v>
      </c>
      <c r="K15">
        <f t="shared" ca="1" si="5"/>
        <v>0.70499999999999996</v>
      </c>
      <c r="L15">
        <f t="shared" ca="1" si="5"/>
        <v>1</v>
      </c>
      <c r="M15">
        <f t="shared" ca="1" si="5"/>
        <v>0.35399999999999998</v>
      </c>
      <c r="N15">
        <f t="shared" ca="1" si="5"/>
        <v>1.95</v>
      </c>
      <c r="O15" t="str">
        <f t="shared" ca="1" si="5"/>
        <v/>
      </c>
      <c r="P15">
        <f t="shared" ca="1" si="6"/>
        <v>1.7</v>
      </c>
      <c r="Q15">
        <f t="shared" ca="1" si="6"/>
        <v>1</v>
      </c>
      <c r="R15" t="str">
        <f t="shared" ca="1" si="6"/>
        <v/>
      </c>
      <c r="S15" t="str">
        <f t="shared" ca="1" si="6"/>
        <v/>
      </c>
      <c r="T15" t="str">
        <f t="shared" ca="1" si="6"/>
        <v/>
      </c>
      <c r="U15" t="str">
        <f t="shared" ca="1" si="6"/>
        <v/>
      </c>
      <c r="V15">
        <f t="shared" ca="1" si="6"/>
        <v>1.5</v>
      </c>
      <c r="W15">
        <f t="shared" ca="1" si="6"/>
        <v>0.50000007999999996</v>
      </c>
      <c r="X15" t="str">
        <f t="shared" ca="1" si="6"/>
        <v/>
      </c>
      <c r="Y15" t="str">
        <f t="shared" ca="1" si="6"/>
        <v/>
      </c>
      <c r="Z15">
        <f t="shared" ca="1" si="7"/>
        <v>1.0000001300000001</v>
      </c>
      <c r="AA15">
        <f t="shared" ca="1" si="7"/>
        <v>4.9999994240000003</v>
      </c>
      <c r="AB15" t="str">
        <f t="shared" ca="1" si="7"/>
        <v/>
      </c>
      <c r="AC15" t="str">
        <f t="shared" ca="1" si="7"/>
        <v/>
      </c>
      <c r="AD15" t="str">
        <f t="shared" ca="1" si="7"/>
        <v/>
      </c>
      <c r="AE15">
        <f t="shared" ca="1" si="7"/>
        <v>0.25000003300000001</v>
      </c>
      <c r="AF15" t="str">
        <f t="shared" ca="1" si="7"/>
        <v/>
      </c>
      <c r="AG15">
        <f t="shared" ca="1" si="7"/>
        <v>1.0000001300000001</v>
      </c>
      <c r="AH15" t="str">
        <f t="shared" ca="1" si="7"/>
        <v/>
      </c>
      <c r="AI15">
        <f t="shared" ca="1" si="7"/>
        <v>3.3654000000000002</v>
      </c>
      <c r="AJ15" t="str">
        <f t="shared" ca="1" si="8"/>
        <v/>
      </c>
      <c r="AK15">
        <f t="shared" ca="1" si="8"/>
        <v>1.0000001599999999</v>
      </c>
      <c r="AL15" t="str">
        <f t="shared" ca="1" si="8"/>
        <v/>
      </c>
      <c r="AM15" t="str">
        <f t="shared" ca="1" si="8"/>
        <v/>
      </c>
      <c r="AN15">
        <f t="shared" ca="1" si="8"/>
        <v>5.9868013299999996</v>
      </c>
      <c r="AO15" t="str">
        <f t="shared" ca="1" si="8"/>
        <v/>
      </c>
      <c r="AP15">
        <f>4</f>
        <v>4</v>
      </c>
      <c r="AQ15">
        <f>0.404</f>
        <v>0.40400000000000003</v>
      </c>
      <c r="AR15" t="str">
        <f>""</f>
        <v/>
      </c>
      <c r="AS15">
        <f>0.075</f>
        <v>7.4999999999999997E-2</v>
      </c>
      <c r="AT15">
        <f>2</f>
        <v>2</v>
      </c>
      <c r="AU15">
        <f>0.705</f>
        <v>0.70499999999999996</v>
      </c>
      <c r="AV15">
        <f>1</f>
        <v>1</v>
      </c>
      <c r="AW15">
        <f>0.354</f>
        <v>0.35399999999999998</v>
      </c>
      <c r="AX15">
        <f>1.95</f>
        <v>1.95</v>
      </c>
      <c r="AY15" t="str">
        <f>""</f>
        <v/>
      </c>
      <c r="AZ15">
        <f>1.7</f>
        <v>1.7</v>
      </c>
      <c r="BA15">
        <f>1</f>
        <v>1</v>
      </c>
      <c r="BB15" t="str">
        <f>""</f>
        <v/>
      </c>
      <c r="BC15" t="str">
        <f>""</f>
        <v/>
      </c>
      <c r="BD15" t="str">
        <f>""</f>
        <v/>
      </c>
      <c r="BE15" t="str">
        <f>""</f>
        <v/>
      </c>
      <c r="BF15">
        <f>1.5</f>
        <v>1.5</v>
      </c>
      <c r="BG15">
        <f>0.50000008</f>
        <v>0.50000007999999996</v>
      </c>
      <c r="BH15" t="str">
        <f>""</f>
        <v/>
      </c>
      <c r="BI15" t="str">
        <f>""</f>
        <v/>
      </c>
      <c r="BJ15">
        <f>1.00000013</f>
        <v>1.0000001300000001</v>
      </c>
      <c r="BK15">
        <f>4.999999424</f>
        <v>4.9999994240000003</v>
      </c>
      <c r="BL15" t="str">
        <f>""</f>
        <v/>
      </c>
      <c r="BM15" t="str">
        <f>""</f>
        <v/>
      </c>
      <c r="BN15" t="str">
        <f>""</f>
        <v/>
      </c>
      <c r="BO15">
        <f>0.250000033</f>
        <v>0.25000003300000001</v>
      </c>
      <c r="BP15" t="str">
        <f>""</f>
        <v/>
      </c>
      <c r="BQ15">
        <f>1.00000013</f>
        <v>1.0000001300000001</v>
      </c>
      <c r="BR15" t="str">
        <f>""</f>
        <v/>
      </c>
      <c r="BS15">
        <f>3.3654</f>
        <v>3.3654000000000002</v>
      </c>
      <c r="BT15" t="str">
        <f>""</f>
        <v/>
      </c>
      <c r="BU15">
        <f>1.00000016</f>
        <v>1.0000001599999999</v>
      </c>
      <c r="BV15" t="str">
        <f>""</f>
        <v/>
      </c>
      <c r="BW15" t="str">
        <f>""</f>
        <v/>
      </c>
      <c r="BX15">
        <f>5.98680133</f>
        <v>5.9868013299999996</v>
      </c>
      <c r="BY15" t="str">
        <f>""</f>
        <v/>
      </c>
    </row>
    <row r="16" spans="1:77" x14ac:dyDescent="0.25">
      <c r="A16" t="str">
        <f>"Buyback Program Announcements"</f>
        <v>Buyback Program Announcements</v>
      </c>
      <c r="B16" t="str">
        <f>""</f>
        <v/>
      </c>
      <c r="E16" t="str">
        <f t="shared" si="0"/>
        <v>Static</v>
      </c>
      <c r="F16">
        <f t="shared" ca="1" si="5"/>
        <v>68</v>
      </c>
      <c r="G16">
        <f t="shared" ca="1" si="5"/>
        <v>57</v>
      </c>
      <c r="H16">
        <f t="shared" ca="1" si="5"/>
        <v>63</v>
      </c>
      <c r="I16">
        <f t="shared" ca="1" si="5"/>
        <v>68</v>
      </c>
      <c r="J16">
        <f t="shared" ca="1" si="5"/>
        <v>77</v>
      </c>
      <c r="K16">
        <f t="shared" ca="1" si="5"/>
        <v>61</v>
      </c>
      <c r="L16">
        <f t="shared" ca="1" si="5"/>
        <v>49</v>
      </c>
      <c r="M16">
        <f t="shared" ca="1" si="5"/>
        <v>72</v>
      </c>
      <c r="N16">
        <f t="shared" ca="1" si="5"/>
        <v>58</v>
      </c>
      <c r="O16">
        <f t="shared" ca="1" si="5"/>
        <v>29</v>
      </c>
      <c r="P16">
        <f t="shared" ca="1" si="6"/>
        <v>37</v>
      </c>
      <c r="Q16">
        <f t="shared" ca="1" si="6"/>
        <v>59</v>
      </c>
      <c r="R16">
        <f t="shared" ca="1" si="6"/>
        <v>55</v>
      </c>
      <c r="S16">
        <f t="shared" ca="1" si="6"/>
        <v>54</v>
      </c>
      <c r="T16">
        <f t="shared" ca="1" si="6"/>
        <v>57</v>
      </c>
      <c r="U16">
        <f t="shared" ca="1" si="6"/>
        <v>82</v>
      </c>
      <c r="V16">
        <f t="shared" ca="1" si="6"/>
        <v>70</v>
      </c>
      <c r="W16">
        <f t="shared" ca="1" si="6"/>
        <v>62</v>
      </c>
      <c r="X16">
        <f t="shared" ca="1" si="6"/>
        <v>62</v>
      </c>
      <c r="Y16">
        <f t="shared" ca="1" si="6"/>
        <v>73</v>
      </c>
      <c r="Z16">
        <f t="shared" ca="1" si="7"/>
        <v>49</v>
      </c>
      <c r="AA16">
        <f t="shared" ca="1" si="7"/>
        <v>18</v>
      </c>
      <c r="AB16">
        <f t="shared" ca="1" si="7"/>
        <v>8</v>
      </c>
      <c r="AC16">
        <f t="shared" ca="1" si="7"/>
        <v>44</v>
      </c>
      <c r="AD16">
        <f t="shared" ca="1" si="7"/>
        <v>47</v>
      </c>
      <c r="AE16">
        <f t="shared" ca="1" si="7"/>
        <v>42</v>
      </c>
      <c r="AF16">
        <f t="shared" ca="1" si="7"/>
        <v>41</v>
      </c>
      <c r="AG16">
        <f t="shared" ca="1" si="7"/>
        <v>65</v>
      </c>
      <c r="AH16">
        <f t="shared" ca="1" si="7"/>
        <v>63</v>
      </c>
      <c r="AI16">
        <f t="shared" ca="1" si="7"/>
        <v>42</v>
      </c>
      <c r="AJ16">
        <f t="shared" ca="1" si="8"/>
        <v>80</v>
      </c>
      <c r="AK16">
        <f t="shared" ca="1" si="8"/>
        <v>64</v>
      </c>
      <c r="AL16">
        <f t="shared" ca="1" si="8"/>
        <v>50</v>
      </c>
      <c r="AM16">
        <f t="shared" ca="1" si="8"/>
        <v>27</v>
      </c>
      <c r="AN16">
        <f t="shared" ca="1" si="8"/>
        <v>55</v>
      </c>
      <c r="AO16">
        <f t="shared" ca="1" si="8"/>
        <v>41</v>
      </c>
      <c r="AP16">
        <f>68</f>
        <v>68</v>
      </c>
      <c r="AQ16">
        <f>57</f>
        <v>57</v>
      </c>
      <c r="AR16">
        <f>63</f>
        <v>63</v>
      </c>
      <c r="AS16">
        <f>68</f>
        <v>68</v>
      </c>
      <c r="AT16">
        <f>77</f>
        <v>77</v>
      </c>
      <c r="AU16">
        <f>61</f>
        <v>61</v>
      </c>
      <c r="AV16">
        <f>49</f>
        <v>49</v>
      </c>
      <c r="AW16">
        <f>72</f>
        <v>72</v>
      </c>
      <c r="AX16">
        <f>58</f>
        <v>58</v>
      </c>
      <c r="AY16">
        <f>29</f>
        <v>29</v>
      </c>
      <c r="AZ16">
        <f>37</f>
        <v>37</v>
      </c>
      <c r="BA16">
        <f>59</f>
        <v>59</v>
      </c>
      <c r="BB16">
        <f>55</f>
        <v>55</v>
      </c>
      <c r="BC16">
        <f>54</f>
        <v>54</v>
      </c>
      <c r="BD16">
        <f>57</f>
        <v>57</v>
      </c>
      <c r="BE16">
        <f>82</f>
        <v>82</v>
      </c>
      <c r="BF16">
        <f>70</f>
        <v>70</v>
      </c>
      <c r="BG16">
        <f>62</f>
        <v>62</v>
      </c>
      <c r="BH16">
        <f>62</f>
        <v>62</v>
      </c>
      <c r="BI16">
        <f>73</f>
        <v>73</v>
      </c>
      <c r="BJ16">
        <f>49</f>
        <v>49</v>
      </c>
      <c r="BK16">
        <f>18</f>
        <v>18</v>
      </c>
      <c r="BL16">
        <f>8</f>
        <v>8</v>
      </c>
      <c r="BM16">
        <f>44</f>
        <v>44</v>
      </c>
      <c r="BN16">
        <f>47</f>
        <v>47</v>
      </c>
      <c r="BO16">
        <f>42</f>
        <v>42</v>
      </c>
      <c r="BP16">
        <f>41</f>
        <v>41</v>
      </c>
      <c r="BQ16">
        <f>65</f>
        <v>65</v>
      </c>
      <c r="BR16">
        <f>63</f>
        <v>63</v>
      </c>
      <c r="BS16">
        <f>42</f>
        <v>42</v>
      </c>
      <c r="BT16">
        <f>80</f>
        <v>80</v>
      </c>
      <c r="BU16">
        <f>64</f>
        <v>64</v>
      </c>
      <c r="BV16">
        <f>50</f>
        <v>50</v>
      </c>
      <c r="BW16">
        <f>27</f>
        <v>27</v>
      </c>
      <c r="BX16">
        <f>55</f>
        <v>55</v>
      </c>
      <c r="BY16">
        <f>41</f>
        <v>41</v>
      </c>
    </row>
    <row r="17" spans="1:77" x14ac:dyDescent="0.25">
      <c r="A17" t="str">
        <f>"    Increased"</f>
        <v xml:space="preserve">    Increased</v>
      </c>
      <c r="B17" t="str">
        <f>""</f>
        <v/>
      </c>
      <c r="E17" t="str">
        <f t="shared" si="0"/>
        <v>Static</v>
      </c>
      <c r="F17">
        <f t="shared" ca="1" si="5"/>
        <v>32</v>
      </c>
      <c r="G17">
        <f t="shared" ca="1" si="5"/>
        <v>30</v>
      </c>
      <c r="H17">
        <f t="shared" ca="1" si="5"/>
        <v>28</v>
      </c>
      <c r="I17">
        <f t="shared" ca="1" si="5"/>
        <v>20</v>
      </c>
      <c r="J17">
        <f t="shared" ca="1" si="5"/>
        <v>39</v>
      </c>
      <c r="K17">
        <f t="shared" ca="1" si="5"/>
        <v>27</v>
      </c>
      <c r="L17">
        <f t="shared" ca="1" si="5"/>
        <v>19</v>
      </c>
      <c r="M17">
        <f t="shared" ca="1" si="5"/>
        <v>21</v>
      </c>
      <c r="N17">
        <f t="shared" ca="1" si="5"/>
        <v>26</v>
      </c>
      <c r="O17">
        <f t="shared" ca="1" si="5"/>
        <v>16</v>
      </c>
      <c r="P17">
        <f t="shared" ca="1" si="6"/>
        <v>15</v>
      </c>
      <c r="Q17">
        <f t="shared" ca="1" si="6"/>
        <v>22</v>
      </c>
      <c r="R17">
        <f t="shared" ca="1" si="6"/>
        <v>26</v>
      </c>
      <c r="S17">
        <f t="shared" ca="1" si="6"/>
        <v>20</v>
      </c>
      <c r="T17">
        <f t="shared" ca="1" si="6"/>
        <v>25</v>
      </c>
      <c r="U17">
        <f t="shared" ca="1" si="6"/>
        <v>39</v>
      </c>
      <c r="V17">
        <f t="shared" ca="1" si="6"/>
        <v>45</v>
      </c>
      <c r="W17">
        <f t="shared" ca="1" si="6"/>
        <v>34</v>
      </c>
      <c r="X17">
        <f t="shared" ca="1" si="6"/>
        <v>33</v>
      </c>
      <c r="Y17">
        <f t="shared" ca="1" si="6"/>
        <v>22</v>
      </c>
      <c r="Z17">
        <f t="shared" ca="1" si="7"/>
        <v>22</v>
      </c>
      <c r="AA17">
        <f t="shared" ca="1" si="7"/>
        <v>6</v>
      </c>
      <c r="AB17">
        <f t="shared" ca="1" si="7"/>
        <v>2</v>
      </c>
      <c r="AC17">
        <f t="shared" ca="1" si="7"/>
        <v>19</v>
      </c>
      <c r="AD17">
        <f t="shared" ca="1" si="7"/>
        <v>16</v>
      </c>
      <c r="AE17">
        <f t="shared" ca="1" si="7"/>
        <v>12</v>
      </c>
      <c r="AF17">
        <f t="shared" ca="1" si="7"/>
        <v>15</v>
      </c>
      <c r="AG17">
        <f t="shared" ca="1" si="7"/>
        <v>19</v>
      </c>
      <c r="AH17">
        <f t="shared" ca="1" si="7"/>
        <v>20</v>
      </c>
      <c r="AI17">
        <f t="shared" ca="1" si="7"/>
        <v>15</v>
      </c>
      <c r="AJ17">
        <f t="shared" ca="1" si="8"/>
        <v>26</v>
      </c>
      <c r="AK17">
        <f t="shared" ca="1" si="8"/>
        <v>11</v>
      </c>
      <c r="AL17">
        <f t="shared" ca="1" si="8"/>
        <v>4</v>
      </c>
      <c r="AM17" t="str">
        <f t="shared" ca="1" si="8"/>
        <v/>
      </c>
      <c r="AN17">
        <f t="shared" ca="1" si="8"/>
        <v>2</v>
      </c>
      <c r="AO17" t="str">
        <f t="shared" ca="1" si="8"/>
        <v/>
      </c>
      <c r="AP17">
        <f>32</f>
        <v>32</v>
      </c>
      <c r="AQ17">
        <f>30</f>
        <v>30</v>
      </c>
      <c r="AR17">
        <f>28</f>
        <v>28</v>
      </c>
      <c r="AS17">
        <f>20</f>
        <v>20</v>
      </c>
      <c r="AT17">
        <f>39</f>
        <v>39</v>
      </c>
      <c r="AU17">
        <f>27</f>
        <v>27</v>
      </c>
      <c r="AV17">
        <f>19</f>
        <v>19</v>
      </c>
      <c r="AW17">
        <f>21</f>
        <v>21</v>
      </c>
      <c r="AX17">
        <f>26</f>
        <v>26</v>
      </c>
      <c r="AY17">
        <f>16</f>
        <v>16</v>
      </c>
      <c r="AZ17">
        <f>15</f>
        <v>15</v>
      </c>
      <c r="BA17">
        <f>22</f>
        <v>22</v>
      </c>
      <c r="BB17">
        <f>26</f>
        <v>26</v>
      </c>
      <c r="BC17">
        <f>20</f>
        <v>20</v>
      </c>
      <c r="BD17">
        <f>25</f>
        <v>25</v>
      </c>
      <c r="BE17">
        <f>39</f>
        <v>39</v>
      </c>
      <c r="BF17">
        <f>45</f>
        <v>45</v>
      </c>
      <c r="BG17">
        <f>34</f>
        <v>34</v>
      </c>
      <c r="BH17">
        <f>33</f>
        <v>33</v>
      </c>
      <c r="BI17">
        <f>22</f>
        <v>22</v>
      </c>
      <c r="BJ17">
        <f>22</f>
        <v>22</v>
      </c>
      <c r="BK17">
        <f>6</f>
        <v>6</v>
      </c>
      <c r="BL17">
        <f>2</f>
        <v>2</v>
      </c>
      <c r="BM17">
        <f>19</f>
        <v>19</v>
      </c>
      <c r="BN17">
        <f>16</f>
        <v>16</v>
      </c>
      <c r="BO17">
        <f>12</f>
        <v>12</v>
      </c>
      <c r="BP17">
        <f>15</f>
        <v>15</v>
      </c>
      <c r="BQ17">
        <f>19</f>
        <v>19</v>
      </c>
      <c r="BR17">
        <f>20</f>
        <v>20</v>
      </c>
      <c r="BS17">
        <f>15</f>
        <v>15</v>
      </c>
      <c r="BT17">
        <f>26</f>
        <v>26</v>
      </c>
      <c r="BU17">
        <f>11</f>
        <v>11</v>
      </c>
      <c r="BV17">
        <f>4</f>
        <v>4</v>
      </c>
      <c r="BW17" t="str">
        <f>""</f>
        <v/>
      </c>
      <c r="BX17">
        <f>2</f>
        <v>2</v>
      </c>
      <c r="BY17" t="str">
        <f>""</f>
        <v/>
      </c>
    </row>
    <row r="18" spans="1:77" x14ac:dyDescent="0.25">
      <c r="A18" t="str">
        <f>"    Decreased"</f>
        <v xml:space="preserve">    Decreased</v>
      </c>
      <c r="B18" t="str">
        <f>""</f>
        <v/>
      </c>
      <c r="E18" t="str">
        <f t="shared" si="0"/>
        <v>Static</v>
      </c>
      <c r="F18">
        <f t="shared" ca="1" si="5"/>
        <v>12</v>
      </c>
      <c r="G18">
        <f t="shared" ca="1" si="5"/>
        <v>13</v>
      </c>
      <c r="H18">
        <f t="shared" ca="1" si="5"/>
        <v>10</v>
      </c>
      <c r="I18">
        <f t="shared" ca="1" si="5"/>
        <v>25</v>
      </c>
      <c r="J18">
        <f t="shared" ca="1" si="5"/>
        <v>14</v>
      </c>
      <c r="K18">
        <f t="shared" ca="1" si="5"/>
        <v>13</v>
      </c>
      <c r="L18">
        <f t="shared" ca="1" si="5"/>
        <v>15</v>
      </c>
      <c r="M18">
        <f t="shared" ca="1" si="5"/>
        <v>30</v>
      </c>
      <c r="N18">
        <f t="shared" ca="1" si="5"/>
        <v>15</v>
      </c>
      <c r="O18">
        <f t="shared" ca="1" si="5"/>
        <v>9</v>
      </c>
      <c r="P18">
        <f t="shared" ca="1" si="6"/>
        <v>11</v>
      </c>
      <c r="Q18">
        <f t="shared" ca="1" si="6"/>
        <v>20</v>
      </c>
      <c r="R18">
        <f t="shared" ca="1" si="6"/>
        <v>15</v>
      </c>
      <c r="S18">
        <f t="shared" ca="1" si="6"/>
        <v>16</v>
      </c>
      <c r="T18">
        <f t="shared" ca="1" si="6"/>
        <v>14</v>
      </c>
      <c r="U18">
        <f t="shared" ca="1" si="6"/>
        <v>27</v>
      </c>
      <c r="V18">
        <f t="shared" ca="1" si="6"/>
        <v>10</v>
      </c>
      <c r="W18">
        <f t="shared" ca="1" si="6"/>
        <v>9</v>
      </c>
      <c r="X18">
        <f t="shared" ca="1" si="6"/>
        <v>13</v>
      </c>
      <c r="Y18">
        <f t="shared" ca="1" si="6"/>
        <v>28</v>
      </c>
      <c r="Z18">
        <f t="shared" ca="1" si="7"/>
        <v>14</v>
      </c>
      <c r="AA18">
        <f t="shared" ca="1" si="7"/>
        <v>5</v>
      </c>
      <c r="AB18">
        <f t="shared" ca="1" si="7"/>
        <v>2</v>
      </c>
      <c r="AC18">
        <f t="shared" ca="1" si="7"/>
        <v>9</v>
      </c>
      <c r="AD18">
        <f t="shared" ca="1" si="7"/>
        <v>11</v>
      </c>
      <c r="AE18">
        <f t="shared" ca="1" si="7"/>
        <v>15</v>
      </c>
      <c r="AF18">
        <f t="shared" ca="1" si="7"/>
        <v>10</v>
      </c>
      <c r="AG18">
        <f t="shared" ca="1" si="7"/>
        <v>17</v>
      </c>
      <c r="AH18">
        <f t="shared" ca="1" si="7"/>
        <v>11</v>
      </c>
      <c r="AI18">
        <f t="shared" ca="1" si="7"/>
        <v>4</v>
      </c>
      <c r="AJ18">
        <f t="shared" ca="1" si="8"/>
        <v>16</v>
      </c>
      <c r="AK18">
        <f t="shared" ca="1" si="8"/>
        <v>7</v>
      </c>
      <c r="AL18">
        <f t="shared" ca="1" si="8"/>
        <v>4</v>
      </c>
      <c r="AM18">
        <f t="shared" ca="1" si="8"/>
        <v>2</v>
      </c>
      <c r="AN18">
        <f t="shared" ca="1" si="8"/>
        <v>1</v>
      </c>
      <c r="AO18" t="str">
        <f t="shared" ca="1" si="8"/>
        <v/>
      </c>
      <c r="AP18">
        <f>12</f>
        <v>12</v>
      </c>
      <c r="AQ18">
        <f>13</f>
        <v>13</v>
      </c>
      <c r="AR18">
        <f>10</f>
        <v>10</v>
      </c>
      <c r="AS18">
        <f>25</f>
        <v>25</v>
      </c>
      <c r="AT18">
        <f>14</f>
        <v>14</v>
      </c>
      <c r="AU18">
        <f>13</f>
        <v>13</v>
      </c>
      <c r="AV18">
        <f>15</f>
        <v>15</v>
      </c>
      <c r="AW18">
        <f>30</f>
        <v>30</v>
      </c>
      <c r="AX18">
        <f>15</f>
        <v>15</v>
      </c>
      <c r="AY18">
        <f>9</f>
        <v>9</v>
      </c>
      <c r="AZ18">
        <f>11</f>
        <v>11</v>
      </c>
      <c r="BA18">
        <f>20</f>
        <v>20</v>
      </c>
      <c r="BB18">
        <f>15</f>
        <v>15</v>
      </c>
      <c r="BC18">
        <f>16</f>
        <v>16</v>
      </c>
      <c r="BD18">
        <f>14</f>
        <v>14</v>
      </c>
      <c r="BE18">
        <f>27</f>
        <v>27</v>
      </c>
      <c r="BF18">
        <f>10</f>
        <v>10</v>
      </c>
      <c r="BG18">
        <f>9</f>
        <v>9</v>
      </c>
      <c r="BH18">
        <f>13</f>
        <v>13</v>
      </c>
      <c r="BI18">
        <f>28</f>
        <v>28</v>
      </c>
      <c r="BJ18">
        <f>14</f>
        <v>14</v>
      </c>
      <c r="BK18">
        <f>5</f>
        <v>5</v>
      </c>
      <c r="BL18">
        <f>2</f>
        <v>2</v>
      </c>
      <c r="BM18">
        <f>9</f>
        <v>9</v>
      </c>
      <c r="BN18">
        <f>11</f>
        <v>11</v>
      </c>
      <c r="BO18">
        <f>15</f>
        <v>15</v>
      </c>
      <c r="BP18">
        <f>10</f>
        <v>10</v>
      </c>
      <c r="BQ18">
        <f>17</f>
        <v>17</v>
      </c>
      <c r="BR18">
        <f>11</f>
        <v>11</v>
      </c>
      <c r="BS18">
        <f>4</f>
        <v>4</v>
      </c>
      <c r="BT18">
        <f>16</f>
        <v>16</v>
      </c>
      <c r="BU18">
        <f>7</f>
        <v>7</v>
      </c>
      <c r="BV18">
        <f>4</f>
        <v>4</v>
      </c>
      <c r="BW18">
        <f>2</f>
        <v>2</v>
      </c>
      <c r="BX18">
        <f>1</f>
        <v>1</v>
      </c>
      <c r="BY18" t="str">
        <f>""</f>
        <v/>
      </c>
    </row>
    <row r="19" spans="1:77" x14ac:dyDescent="0.25">
      <c r="A19" t="str">
        <f>"    Neutral"</f>
        <v xml:space="preserve">    Neutral</v>
      </c>
      <c r="B19" t="str">
        <f>""</f>
        <v/>
      </c>
      <c r="E19" t="str">
        <f t="shared" si="0"/>
        <v>Static</v>
      </c>
      <c r="F19">
        <f t="shared" ca="1" si="5"/>
        <v>19</v>
      </c>
      <c r="G19">
        <f t="shared" ca="1" si="5"/>
        <v>12</v>
      </c>
      <c r="H19">
        <f t="shared" ca="1" si="5"/>
        <v>19</v>
      </c>
      <c r="I19">
        <f t="shared" ca="1" si="5"/>
        <v>19</v>
      </c>
      <c r="J19">
        <f t="shared" ca="1" si="5"/>
        <v>17</v>
      </c>
      <c r="K19">
        <f t="shared" ca="1" si="5"/>
        <v>16</v>
      </c>
      <c r="L19">
        <f t="shared" ca="1" si="5"/>
        <v>11</v>
      </c>
      <c r="M19">
        <f t="shared" ca="1" si="5"/>
        <v>17</v>
      </c>
      <c r="N19">
        <f t="shared" ca="1" si="5"/>
        <v>13</v>
      </c>
      <c r="O19">
        <f t="shared" ca="1" si="5"/>
        <v>4</v>
      </c>
      <c r="P19">
        <f t="shared" ca="1" si="6"/>
        <v>10</v>
      </c>
      <c r="Q19">
        <f t="shared" ca="1" si="6"/>
        <v>13</v>
      </c>
      <c r="R19">
        <f t="shared" ca="1" si="6"/>
        <v>11</v>
      </c>
      <c r="S19">
        <f t="shared" ca="1" si="6"/>
        <v>9</v>
      </c>
      <c r="T19">
        <f t="shared" ca="1" si="6"/>
        <v>13</v>
      </c>
      <c r="U19">
        <f t="shared" ca="1" si="6"/>
        <v>4</v>
      </c>
      <c r="V19">
        <f t="shared" ca="1" si="6"/>
        <v>5</v>
      </c>
      <c r="W19">
        <f t="shared" ca="1" si="6"/>
        <v>6</v>
      </c>
      <c r="X19">
        <f t="shared" ca="1" si="6"/>
        <v>6</v>
      </c>
      <c r="Y19">
        <f t="shared" ca="1" si="6"/>
        <v>13</v>
      </c>
      <c r="Z19">
        <f t="shared" ca="1" si="7"/>
        <v>8</v>
      </c>
      <c r="AA19">
        <f t="shared" ca="1" si="7"/>
        <v>3</v>
      </c>
      <c r="AB19">
        <f t="shared" ca="1" si="7"/>
        <v>1</v>
      </c>
      <c r="AC19">
        <f t="shared" ca="1" si="7"/>
        <v>7</v>
      </c>
      <c r="AD19">
        <f t="shared" ca="1" si="7"/>
        <v>8</v>
      </c>
      <c r="AE19">
        <f t="shared" ca="1" si="7"/>
        <v>7</v>
      </c>
      <c r="AF19">
        <f t="shared" ca="1" si="7"/>
        <v>6</v>
      </c>
      <c r="AG19">
        <f t="shared" ca="1" si="7"/>
        <v>10</v>
      </c>
      <c r="AH19">
        <f t="shared" ca="1" si="7"/>
        <v>9</v>
      </c>
      <c r="AI19">
        <f t="shared" ca="1" si="7"/>
        <v>2</v>
      </c>
      <c r="AJ19">
        <f t="shared" ca="1" si="8"/>
        <v>7</v>
      </c>
      <c r="AK19">
        <f t="shared" ca="1" si="8"/>
        <v>6</v>
      </c>
      <c r="AL19">
        <f t="shared" ca="1" si="8"/>
        <v>2</v>
      </c>
      <c r="AM19">
        <f t="shared" ca="1" si="8"/>
        <v>2</v>
      </c>
      <c r="AN19" t="str">
        <f t="shared" ca="1" si="8"/>
        <v/>
      </c>
      <c r="AO19" t="str">
        <f t="shared" ca="1" si="8"/>
        <v/>
      </c>
      <c r="AP19">
        <f>19</f>
        <v>19</v>
      </c>
      <c r="AQ19">
        <f>12</f>
        <v>12</v>
      </c>
      <c r="AR19">
        <f>19</f>
        <v>19</v>
      </c>
      <c r="AS19">
        <f>19</f>
        <v>19</v>
      </c>
      <c r="AT19">
        <f>17</f>
        <v>17</v>
      </c>
      <c r="AU19">
        <f>16</f>
        <v>16</v>
      </c>
      <c r="AV19">
        <f>11</f>
        <v>11</v>
      </c>
      <c r="AW19">
        <f>17</f>
        <v>17</v>
      </c>
      <c r="AX19">
        <f>13</f>
        <v>13</v>
      </c>
      <c r="AY19">
        <f>4</f>
        <v>4</v>
      </c>
      <c r="AZ19">
        <f>10</f>
        <v>10</v>
      </c>
      <c r="BA19">
        <f>13</f>
        <v>13</v>
      </c>
      <c r="BB19">
        <f>11</f>
        <v>11</v>
      </c>
      <c r="BC19">
        <f>9</f>
        <v>9</v>
      </c>
      <c r="BD19">
        <f>13</f>
        <v>13</v>
      </c>
      <c r="BE19">
        <f>4</f>
        <v>4</v>
      </c>
      <c r="BF19">
        <f>5</f>
        <v>5</v>
      </c>
      <c r="BG19">
        <f>6</f>
        <v>6</v>
      </c>
      <c r="BH19">
        <f>6</f>
        <v>6</v>
      </c>
      <c r="BI19">
        <f>13</f>
        <v>13</v>
      </c>
      <c r="BJ19">
        <f>8</f>
        <v>8</v>
      </c>
      <c r="BK19">
        <f>3</f>
        <v>3</v>
      </c>
      <c r="BL19">
        <f>1</f>
        <v>1</v>
      </c>
      <c r="BM19">
        <f>7</f>
        <v>7</v>
      </c>
      <c r="BN19">
        <f>8</f>
        <v>8</v>
      </c>
      <c r="BO19">
        <f>7</f>
        <v>7</v>
      </c>
      <c r="BP19">
        <f>6</f>
        <v>6</v>
      </c>
      <c r="BQ19">
        <f>10</f>
        <v>10</v>
      </c>
      <c r="BR19">
        <f>9</f>
        <v>9</v>
      </c>
      <c r="BS19">
        <f>2</f>
        <v>2</v>
      </c>
      <c r="BT19">
        <f>7</f>
        <v>7</v>
      </c>
      <c r="BU19">
        <f>6</f>
        <v>6</v>
      </c>
      <c r="BV19">
        <f>2</f>
        <v>2</v>
      </c>
      <c r="BW19">
        <f>2</f>
        <v>2</v>
      </c>
      <c r="BX19" t="str">
        <f>""</f>
        <v/>
      </c>
      <c r="BY19" t="str">
        <f>""</f>
        <v/>
      </c>
    </row>
    <row r="20" spans="1:77" x14ac:dyDescent="0.25">
      <c r="A20" t="str">
        <f>"    New Buyback Programs"</f>
        <v xml:space="preserve">    New Buyback Programs</v>
      </c>
      <c r="B20" t="str">
        <f>""</f>
        <v/>
      </c>
      <c r="E20" t="str">
        <f t="shared" si="0"/>
        <v>Static</v>
      </c>
      <c r="F20">
        <f t="shared" ca="1" si="5"/>
        <v>5</v>
      </c>
      <c r="G20">
        <f t="shared" ca="1" si="5"/>
        <v>2</v>
      </c>
      <c r="H20">
        <f t="shared" ca="1" si="5"/>
        <v>6</v>
      </c>
      <c r="I20">
        <f t="shared" ca="1" si="5"/>
        <v>4</v>
      </c>
      <c r="J20">
        <f t="shared" ca="1" si="5"/>
        <v>7</v>
      </c>
      <c r="K20">
        <f t="shared" ca="1" si="5"/>
        <v>5</v>
      </c>
      <c r="L20">
        <f t="shared" ca="1" si="5"/>
        <v>4</v>
      </c>
      <c r="M20">
        <f t="shared" ca="1" si="5"/>
        <v>4</v>
      </c>
      <c r="N20">
        <f t="shared" ca="1" si="5"/>
        <v>4</v>
      </c>
      <c r="O20" t="str">
        <f t="shared" ca="1" si="5"/>
        <v/>
      </c>
      <c r="P20">
        <f t="shared" ca="1" si="6"/>
        <v>1</v>
      </c>
      <c r="Q20">
        <f t="shared" ca="1" si="6"/>
        <v>2</v>
      </c>
      <c r="R20">
        <f t="shared" ca="1" si="6"/>
        <v>3</v>
      </c>
      <c r="S20">
        <f t="shared" ca="1" si="6"/>
        <v>4</v>
      </c>
      <c r="T20">
        <f t="shared" ca="1" si="6"/>
        <v>4</v>
      </c>
      <c r="U20">
        <f t="shared" ca="1" si="6"/>
        <v>9</v>
      </c>
      <c r="V20">
        <f t="shared" ca="1" si="6"/>
        <v>7</v>
      </c>
      <c r="W20">
        <f t="shared" ca="1" si="6"/>
        <v>10</v>
      </c>
      <c r="X20">
        <f t="shared" ca="1" si="6"/>
        <v>6</v>
      </c>
      <c r="Y20">
        <f t="shared" ca="1" si="6"/>
        <v>6</v>
      </c>
      <c r="Z20">
        <f t="shared" ca="1" si="7"/>
        <v>5</v>
      </c>
      <c r="AA20">
        <f t="shared" ca="1" si="7"/>
        <v>4</v>
      </c>
      <c r="AB20">
        <f t="shared" ca="1" si="7"/>
        <v>2</v>
      </c>
      <c r="AC20">
        <f t="shared" ca="1" si="7"/>
        <v>8</v>
      </c>
      <c r="AD20">
        <f t="shared" ca="1" si="7"/>
        <v>9</v>
      </c>
      <c r="AE20">
        <f t="shared" ca="1" si="7"/>
        <v>7</v>
      </c>
      <c r="AF20">
        <f t="shared" ca="1" si="7"/>
        <v>9</v>
      </c>
      <c r="AG20">
        <f t="shared" ca="1" si="7"/>
        <v>17</v>
      </c>
      <c r="AH20">
        <f t="shared" ca="1" si="7"/>
        <v>22</v>
      </c>
      <c r="AI20">
        <f t="shared" ca="1" si="7"/>
        <v>21</v>
      </c>
      <c r="AJ20">
        <f t="shared" ca="1" si="8"/>
        <v>28</v>
      </c>
      <c r="AK20">
        <f t="shared" ca="1" si="8"/>
        <v>35</v>
      </c>
      <c r="AL20">
        <f t="shared" ca="1" si="8"/>
        <v>38</v>
      </c>
      <c r="AM20">
        <f t="shared" ca="1" si="8"/>
        <v>22</v>
      </c>
      <c r="AN20">
        <f t="shared" ca="1" si="8"/>
        <v>50</v>
      </c>
      <c r="AO20">
        <f t="shared" ca="1" si="8"/>
        <v>39</v>
      </c>
      <c r="AP20">
        <f>5</f>
        <v>5</v>
      </c>
      <c r="AQ20">
        <f>2</f>
        <v>2</v>
      </c>
      <c r="AR20">
        <f>6</f>
        <v>6</v>
      </c>
      <c r="AS20">
        <f>4</f>
        <v>4</v>
      </c>
      <c r="AT20">
        <f>7</f>
        <v>7</v>
      </c>
      <c r="AU20">
        <f>5</f>
        <v>5</v>
      </c>
      <c r="AV20">
        <f>4</f>
        <v>4</v>
      </c>
      <c r="AW20">
        <f>4</f>
        <v>4</v>
      </c>
      <c r="AX20">
        <f>4</f>
        <v>4</v>
      </c>
      <c r="AY20" t="str">
        <f>""</f>
        <v/>
      </c>
      <c r="AZ20">
        <f>1</f>
        <v>1</v>
      </c>
      <c r="BA20">
        <f>2</f>
        <v>2</v>
      </c>
      <c r="BB20">
        <f>3</f>
        <v>3</v>
      </c>
      <c r="BC20">
        <f>4</f>
        <v>4</v>
      </c>
      <c r="BD20">
        <f>4</f>
        <v>4</v>
      </c>
      <c r="BE20">
        <f>9</f>
        <v>9</v>
      </c>
      <c r="BF20">
        <f>7</f>
        <v>7</v>
      </c>
      <c r="BG20">
        <f>10</f>
        <v>10</v>
      </c>
      <c r="BH20">
        <f>6</f>
        <v>6</v>
      </c>
      <c r="BI20">
        <f>6</f>
        <v>6</v>
      </c>
      <c r="BJ20">
        <f>5</f>
        <v>5</v>
      </c>
      <c r="BK20">
        <f>4</f>
        <v>4</v>
      </c>
      <c r="BL20">
        <f>2</f>
        <v>2</v>
      </c>
      <c r="BM20">
        <f>8</f>
        <v>8</v>
      </c>
      <c r="BN20">
        <f>9</f>
        <v>9</v>
      </c>
      <c r="BO20">
        <f>7</f>
        <v>7</v>
      </c>
      <c r="BP20">
        <f>9</f>
        <v>9</v>
      </c>
      <c r="BQ20">
        <f>17</f>
        <v>17</v>
      </c>
      <c r="BR20">
        <f>22</f>
        <v>22</v>
      </c>
      <c r="BS20">
        <f>21</f>
        <v>21</v>
      </c>
      <c r="BT20">
        <f>28</f>
        <v>28</v>
      </c>
      <c r="BU20">
        <f>35</f>
        <v>35</v>
      </c>
      <c r="BV20">
        <f>38</f>
        <v>38</v>
      </c>
      <c r="BW20">
        <f>22</f>
        <v>22</v>
      </c>
      <c r="BX20">
        <f>50</f>
        <v>50</v>
      </c>
      <c r="BY20">
        <f>39</f>
        <v>39</v>
      </c>
    </row>
    <row r="21" spans="1:77" x14ac:dyDescent="0.25">
      <c r="A21" t="str">
        <f>"    Suspended"</f>
        <v xml:space="preserve">    Suspended</v>
      </c>
      <c r="B21" t="str">
        <f>""</f>
        <v/>
      </c>
      <c r="E21" t="str">
        <f t="shared" si="0"/>
        <v>Static</v>
      </c>
      <c r="F21" t="str">
        <f t="shared" ca="1" si="5"/>
        <v/>
      </c>
      <c r="G21" t="str">
        <f t="shared" ca="1" si="5"/>
        <v/>
      </c>
      <c r="H21" t="str">
        <f t="shared" ca="1" si="5"/>
        <v/>
      </c>
      <c r="I21" t="str">
        <f t="shared" ca="1" si="5"/>
        <v/>
      </c>
      <c r="J21" t="str">
        <f t="shared" ca="1" si="5"/>
        <v/>
      </c>
      <c r="K21" t="str">
        <f t="shared" ca="1" si="5"/>
        <v/>
      </c>
      <c r="L21" t="str">
        <f t="shared" ca="1" si="5"/>
        <v/>
      </c>
      <c r="M21" t="str">
        <f t="shared" ca="1" si="5"/>
        <v/>
      </c>
      <c r="N21" t="str">
        <f t="shared" ca="1" si="5"/>
        <v/>
      </c>
      <c r="O21" t="str">
        <f t="shared" ca="1" si="5"/>
        <v/>
      </c>
      <c r="P21" t="str">
        <f t="shared" ca="1" si="6"/>
        <v/>
      </c>
      <c r="Q21" t="str">
        <f t="shared" ca="1" si="6"/>
        <v/>
      </c>
      <c r="R21" t="str">
        <f t="shared" ca="1" si="6"/>
        <v/>
      </c>
      <c r="S21" t="str">
        <f t="shared" ca="1" si="6"/>
        <v/>
      </c>
      <c r="T21" t="str">
        <f t="shared" ca="1" si="6"/>
        <v/>
      </c>
      <c r="U21" t="str">
        <f t="shared" ca="1" si="6"/>
        <v/>
      </c>
      <c r="V21" t="str">
        <f t="shared" ca="1" si="6"/>
        <v/>
      </c>
      <c r="W21" t="str">
        <f t="shared" ca="1" si="6"/>
        <v/>
      </c>
      <c r="X21" t="str">
        <f t="shared" ca="1" si="6"/>
        <v/>
      </c>
      <c r="Y21" t="str">
        <f t="shared" ca="1" si="6"/>
        <v/>
      </c>
      <c r="Z21" t="str">
        <f t="shared" ca="1" si="7"/>
        <v/>
      </c>
      <c r="AA21">
        <f t="shared" ca="1" si="7"/>
        <v>2</v>
      </c>
      <c r="AB21">
        <f t="shared" ca="1" si="7"/>
        <v>48</v>
      </c>
      <c r="AC21">
        <f t="shared" ca="1" si="7"/>
        <v>7</v>
      </c>
      <c r="AD21" t="str">
        <f t="shared" ca="1" si="7"/>
        <v/>
      </c>
      <c r="AE21" t="str">
        <f t="shared" ca="1" si="7"/>
        <v/>
      </c>
      <c r="AF21" t="str">
        <f t="shared" ca="1" si="7"/>
        <v/>
      </c>
      <c r="AG21" t="str">
        <f t="shared" ca="1" si="7"/>
        <v/>
      </c>
      <c r="AH21" t="str">
        <f t="shared" ca="1" si="7"/>
        <v/>
      </c>
      <c r="AI21" t="str">
        <f t="shared" ca="1" si="7"/>
        <v/>
      </c>
      <c r="AJ21" t="str">
        <f t="shared" ca="1" si="8"/>
        <v/>
      </c>
      <c r="AK21" t="str">
        <f t="shared" ca="1" si="8"/>
        <v/>
      </c>
      <c r="AL21" t="str">
        <f t="shared" ca="1" si="8"/>
        <v/>
      </c>
      <c r="AM21" t="str">
        <f t="shared" ca="1" si="8"/>
        <v/>
      </c>
      <c r="AN21" t="str">
        <f t="shared" ca="1" si="8"/>
        <v/>
      </c>
      <c r="AO21" t="str">
        <f t="shared" ca="1" si="8"/>
        <v/>
      </c>
      <c r="AP21" t="str">
        <f>""</f>
        <v/>
      </c>
      <c r="AQ21" t="str">
        <f>""</f>
        <v/>
      </c>
      <c r="AR21" t="str">
        <f>""</f>
        <v/>
      </c>
      <c r="AS21" t="str">
        <f>""</f>
        <v/>
      </c>
      <c r="AT21" t="str">
        <f>""</f>
        <v/>
      </c>
      <c r="AU21" t="str">
        <f>""</f>
        <v/>
      </c>
      <c r="AV21" t="str">
        <f>""</f>
        <v/>
      </c>
      <c r="AW21" t="str">
        <f>""</f>
        <v/>
      </c>
      <c r="AX21" t="str">
        <f>""</f>
        <v/>
      </c>
      <c r="AY21" t="str">
        <f>""</f>
        <v/>
      </c>
      <c r="AZ21" t="str">
        <f>""</f>
        <v/>
      </c>
      <c r="BA21" t="str">
        <f>""</f>
        <v/>
      </c>
      <c r="BB21" t="str">
        <f>""</f>
        <v/>
      </c>
      <c r="BC21" t="str">
        <f>""</f>
        <v/>
      </c>
      <c r="BD21" t="str">
        <f>""</f>
        <v/>
      </c>
      <c r="BE21" t="str">
        <f>""</f>
        <v/>
      </c>
      <c r="BF21" t="str">
        <f>""</f>
        <v/>
      </c>
      <c r="BG21" t="str">
        <f>""</f>
        <v/>
      </c>
      <c r="BH21" t="str">
        <f>""</f>
        <v/>
      </c>
      <c r="BI21" t="str">
        <f>""</f>
        <v/>
      </c>
      <c r="BJ21" t="str">
        <f>""</f>
        <v/>
      </c>
      <c r="BK21">
        <f>2</f>
        <v>2</v>
      </c>
      <c r="BL21">
        <f>48</f>
        <v>48</v>
      </c>
      <c r="BM21">
        <f>7</f>
        <v>7</v>
      </c>
      <c r="BN21" t="str">
        <f>""</f>
        <v/>
      </c>
      <c r="BO21" t="str">
        <f>""</f>
        <v/>
      </c>
      <c r="BP21" t="str">
        <f>""</f>
        <v/>
      </c>
      <c r="BQ21" t="str">
        <f>""</f>
        <v/>
      </c>
      <c r="BR21" t="str">
        <f>""</f>
        <v/>
      </c>
      <c r="BS21" t="str">
        <f>""</f>
        <v/>
      </c>
      <c r="BT21" t="str">
        <f>""</f>
        <v/>
      </c>
      <c r="BU21" t="str">
        <f>""</f>
        <v/>
      </c>
      <c r="BV21" t="str">
        <f>""</f>
        <v/>
      </c>
      <c r="BW21" t="str">
        <f>""</f>
        <v/>
      </c>
      <c r="BX21" t="str">
        <f>""</f>
        <v/>
      </c>
      <c r="BY21" t="str">
        <f>""</f>
        <v/>
      </c>
    </row>
    <row r="22" spans="1:77" x14ac:dyDescent="0.25">
      <c r="A22" t="str">
        <f>"Note: First Time Buyback refers to since 2017Q1"</f>
        <v>Note: First Time Buyback refers to since 2017Q1</v>
      </c>
      <c r="B22" t="str">
        <f>""</f>
        <v/>
      </c>
      <c r="E22" t="str">
        <f>"Heading"</f>
        <v>Heading</v>
      </c>
      <c r="AP22" t="str">
        <f>""</f>
        <v/>
      </c>
      <c r="AQ22" t="str">
        <f>""</f>
        <v/>
      </c>
      <c r="AR22" t="str">
        <f>""</f>
        <v/>
      </c>
      <c r="AS22" t="str">
        <f>""</f>
        <v/>
      </c>
      <c r="AT22" t="str">
        <f>""</f>
        <v/>
      </c>
      <c r="AU22" t="str">
        <f>""</f>
        <v/>
      </c>
      <c r="AV22" t="str">
        <f>""</f>
        <v/>
      </c>
      <c r="AW22" t="str">
        <f>""</f>
        <v/>
      </c>
      <c r="AX22" t="str">
        <f>""</f>
        <v/>
      </c>
      <c r="AY22" t="str">
        <f>""</f>
        <v/>
      </c>
      <c r="AZ22" t="str">
        <f>""</f>
        <v/>
      </c>
      <c r="BA22" t="str">
        <f>""</f>
        <v/>
      </c>
      <c r="BB22" t="str">
        <f>""</f>
        <v/>
      </c>
      <c r="BC22" t="str">
        <f>""</f>
        <v/>
      </c>
      <c r="BD22" t="str">
        <f>""</f>
        <v/>
      </c>
      <c r="BE22" t="str">
        <f>""</f>
        <v/>
      </c>
      <c r="BF22" t="str">
        <f>""</f>
        <v/>
      </c>
      <c r="BG22" t="str">
        <f>""</f>
        <v/>
      </c>
      <c r="BH22" t="str">
        <f>""</f>
        <v/>
      </c>
      <c r="BI22" t="str">
        <f>""</f>
        <v/>
      </c>
      <c r="BJ22" t="str">
        <f>""</f>
        <v/>
      </c>
      <c r="BK22" t="str">
        <f>""</f>
        <v/>
      </c>
      <c r="BL22" t="str">
        <f>""</f>
        <v/>
      </c>
      <c r="BM22" t="str">
        <f>""</f>
        <v/>
      </c>
      <c r="BN22" t="str">
        <f>""</f>
        <v/>
      </c>
      <c r="BO22" t="str">
        <f>""</f>
        <v/>
      </c>
      <c r="BP22" t="str">
        <f>""</f>
        <v/>
      </c>
      <c r="BQ22" t="str">
        <f>""</f>
        <v/>
      </c>
      <c r="BR22" t="str">
        <f>""</f>
        <v/>
      </c>
      <c r="BS22" t="str">
        <f>""</f>
        <v/>
      </c>
      <c r="BT22" t="str">
        <f>""</f>
        <v/>
      </c>
      <c r="BU22" t="str">
        <f>""</f>
        <v/>
      </c>
      <c r="BV22" t="str">
        <f>""</f>
        <v/>
      </c>
      <c r="BW22" t="str">
        <f>""</f>
        <v/>
      </c>
      <c r="BX22" t="str">
        <f>""</f>
        <v/>
      </c>
      <c r="BY22" t="str">
        <f>""</f>
        <v/>
      </c>
    </row>
    <row r="23" spans="1:77" x14ac:dyDescent="0.25">
      <c r="AP23" t="str">
        <f>""</f>
        <v/>
      </c>
      <c r="AQ23" t="str">
        <f>""</f>
        <v/>
      </c>
      <c r="AR23" t="str">
        <f>""</f>
        <v/>
      </c>
      <c r="AS23" t="str">
        <f>""</f>
        <v/>
      </c>
      <c r="AT23" t="str">
        <f>""</f>
        <v/>
      </c>
      <c r="AU23" t="str">
        <f>""</f>
        <v/>
      </c>
      <c r="AV23" t="str">
        <f>""</f>
        <v/>
      </c>
      <c r="AW23" t="str">
        <f>""</f>
        <v/>
      </c>
      <c r="AX23" t="str">
        <f>""</f>
        <v/>
      </c>
      <c r="AY23" t="str">
        <f>""</f>
        <v/>
      </c>
      <c r="AZ23" t="str">
        <f>""</f>
        <v/>
      </c>
      <c r="BA23" t="str">
        <f>""</f>
        <v/>
      </c>
      <c r="BB23" t="str">
        <f>""</f>
        <v/>
      </c>
      <c r="BC23" t="str">
        <f>""</f>
        <v/>
      </c>
      <c r="BD23" t="str">
        <f>""</f>
        <v/>
      </c>
      <c r="BE23" t="str">
        <f>""</f>
        <v/>
      </c>
      <c r="BF23" t="str">
        <f>""</f>
        <v/>
      </c>
      <c r="BG23" t="str">
        <f>""</f>
        <v/>
      </c>
      <c r="BH23" t="str">
        <f>""</f>
        <v/>
      </c>
      <c r="BI23" t="str">
        <f>""</f>
        <v/>
      </c>
      <c r="BJ23" t="str">
        <f>""</f>
        <v/>
      </c>
      <c r="BK23" t="str">
        <f>""</f>
        <v/>
      </c>
      <c r="BL23" t="str">
        <f>""</f>
        <v/>
      </c>
      <c r="BM23" t="str">
        <f>""</f>
        <v/>
      </c>
      <c r="BN23" t="str">
        <f>""</f>
        <v/>
      </c>
      <c r="BO23" t="str">
        <f>""</f>
        <v/>
      </c>
      <c r="BP23" t="str">
        <f>""</f>
        <v/>
      </c>
      <c r="BQ23" t="str">
        <f>""</f>
        <v/>
      </c>
      <c r="BR23" t="str">
        <f>""</f>
        <v/>
      </c>
      <c r="BS23" t="str">
        <f>""</f>
        <v/>
      </c>
      <c r="BT23" t="str">
        <f>""</f>
        <v/>
      </c>
      <c r="BU23" t="str">
        <f>""</f>
        <v/>
      </c>
      <c r="BV23" t="str">
        <f>""</f>
        <v/>
      </c>
      <c r="BW23" t="str">
        <f>""</f>
        <v/>
      </c>
      <c r="BX23" t="str">
        <f>""</f>
        <v/>
      </c>
      <c r="BY23" t="str">
        <f>""</f>
        <v/>
      </c>
    </row>
    <row r="24" spans="1:77" x14ac:dyDescent="0.25">
      <c r="AP24" t="str">
        <f>""</f>
        <v/>
      </c>
      <c r="AQ24" t="str">
        <f>""</f>
        <v/>
      </c>
      <c r="AR24" t="str">
        <f>""</f>
        <v/>
      </c>
      <c r="AS24" t="str">
        <f>""</f>
        <v/>
      </c>
      <c r="AT24" t="str">
        <f>""</f>
        <v/>
      </c>
      <c r="AU24" t="str">
        <f>""</f>
        <v/>
      </c>
      <c r="AV24" t="str">
        <f>""</f>
        <v/>
      </c>
      <c r="AW24" t="str">
        <f>""</f>
        <v/>
      </c>
      <c r="AX24" t="str">
        <f>""</f>
        <v/>
      </c>
      <c r="AY24" t="str">
        <f>""</f>
        <v/>
      </c>
      <c r="AZ24" t="str">
        <f>""</f>
        <v/>
      </c>
      <c r="BA24" t="str">
        <f>""</f>
        <v/>
      </c>
      <c r="BB24" t="str">
        <f>""</f>
        <v/>
      </c>
      <c r="BC24" t="str">
        <f>""</f>
        <v/>
      </c>
      <c r="BD24" t="str">
        <f>""</f>
        <v/>
      </c>
      <c r="BE24" t="str">
        <f>""</f>
        <v/>
      </c>
      <c r="BF24" t="str">
        <f>""</f>
        <v/>
      </c>
      <c r="BG24" t="str">
        <f>""</f>
        <v/>
      </c>
      <c r="BH24" t="str">
        <f>""</f>
        <v/>
      </c>
      <c r="BI24" t="str">
        <f>""</f>
        <v/>
      </c>
      <c r="BJ24" t="str">
        <f>""</f>
        <v/>
      </c>
      <c r="BK24" t="str">
        <f>""</f>
        <v/>
      </c>
      <c r="BL24" t="str">
        <f>""</f>
        <v/>
      </c>
      <c r="BM24" t="str">
        <f>""</f>
        <v/>
      </c>
      <c r="BN24" t="str">
        <f>""</f>
        <v/>
      </c>
      <c r="BO24" t="str">
        <f>""</f>
        <v/>
      </c>
      <c r="BP24" t="str">
        <f>""</f>
        <v/>
      </c>
      <c r="BQ24" t="str">
        <f>""</f>
        <v/>
      </c>
      <c r="BR24" t="str">
        <f>""</f>
        <v/>
      </c>
      <c r="BS24" t="str">
        <f>""</f>
        <v/>
      </c>
      <c r="BT24" t="str">
        <f>""</f>
        <v/>
      </c>
      <c r="BU24" t="str">
        <f>""</f>
        <v/>
      </c>
      <c r="BV24" t="str">
        <f>""</f>
        <v/>
      </c>
      <c r="BW24" t="str">
        <f>""</f>
        <v/>
      </c>
      <c r="BX24" t="str">
        <f>""</f>
        <v/>
      </c>
      <c r="BY24" t="str">
        <f>""</f>
        <v/>
      </c>
    </row>
    <row r="25" spans="1:77" x14ac:dyDescent="0.25">
      <c r="AP25" t="str">
        <f>""</f>
        <v/>
      </c>
      <c r="AQ25" t="str">
        <f>""</f>
        <v/>
      </c>
      <c r="AR25" t="str">
        <f>""</f>
        <v/>
      </c>
      <c r="AS25" t="str">
        <f>""</f>
        <v/>
      </c>
      <c r="AT25" t="str">
        <f>""</f>
        <v/>
      </c>
      <c r="AU25" t="str">
        <f>""</f>
        <v/>
      </c>
      <c r="AV25" t="str">
        <f>""</f>
        <v/>
      </c>
      <c r="AW25" t="str">
        <f>""</f>
        <v/>
      </c>
      <c r="AX25" t="str">
        <f>""</f>
        <v/>
      </c>
      <c r="AY25" t="str">
        <f>""</f>
        <v/>
      </c>
      <c r="AZ25" t="str">
        <f>""</f>
        <v/>
      </c>
      <c r="BA25" t="str">
        <f>""</f>
        <v/>
      </c>
      <c r="BB25" t="str">
        <f>""</f>
        <v/>
      </c>
      <c r="BC25" t="str">
        <f>""</f>
        <v/>
      </c>
      <c r="BD25" t="str">
        <f>""</f>
        <v/>
      </c>
      <c r="BE25" t="str">
        <f>""</f>
        <v/>
      </c>
      <c r="BF25" t="str">
        <f>""</f>
        <v/>
      </c>
      <c r="BG25" t="str">
        <f>""</f>
        <v/>
      </c>
      <c r="BH25" t="str">
        <f>""</f>
        <v/>
      </c>
      <c r="BI25" t="str">
        <f>""</f>
        <v/>
      </c>
      <c r="BJ25" t="str">
        <f>""</f>
        <v/>
      </c>
      <c r="BK25" t="str">
        <f>""</f>
        <v/>
      </c>
      <c r="BL25" t="str">
        <f>""</f>
        <v/>
      </c>
      <c r="BM25" t="str">
        <f>""</f>
        <v/>
      </c>
      <c r="BN25" t="str">
        <f>""</f>
        <v/>
      </c>
      <c r="BO25" t="str">
        <f>""</f>
        <v/>
      </c>
      <c r="BP25" t="str">
        <f>""</f>
        <v/>
      </c>
      <c r="BQ25" t="str">
        <f>""</f>
        <v/>
      </c>
      <c r="BR25" t="str">
        <f>""</f>
        <v/>
      </c>
      <c r="BS25" t="str">
        <f>""</f>
        <v/>
      </c>
      <c r="BT25" t="str">
        <f>""</f>
        <v/>
      </c>
      <c r="BU25" t="str">
        <f>""</f>
        <v/>
      </c>
      <c r="BV25" t="str">
        <f>""</f>
        <v/>
      </c>
      <c r="BW25" t="str">
        <f>""</f>
        <v/>
      </c>
      <c r="BX25" t="str">
        <f>""</f>
        <v/>
      </c>
      <c r="BY25" t="str">
        <f>""</f>
        <v/>
      </c>
    </row>
    <row r="26" spans="1:77" x14ac:dyDescent="0.25">
      <c r="AP26" t="str">
        <f>""</f>
        <v/>
      </c>
      <c r="AQ26" t="str">
        <f>""</f>
        <v/>
      </c>
      <c r="AR26" t="str">
        <f>""</f>
        <v/>
      </c>
      <c r="AS26" t="str">
        <f>""</f>
        <v/>
      </c>
      <c r="AT26" t="str">
        <f>""</f>
        <v/>
      </c>
      <c r="AU26" t="str">
        <f>""</f>
        <v/>
      </c>
      <c r="AV26" t="str">
        <f>""</f>
        <v/>
      </c>
      <c r="AW26" t="str">
        <f>""</f>
        <v/>
      </c>
      <c r="AX26" t="str">
        <f>""</f>
        <v/>
      </c>
      <c r="AY26" t="str">
        <f>""</f>
        <v/>
      </c>
      <c r="AZ26" t="str">
        <f>""</f>
        <v/>
      </c>
      <c r="BA26" t="str">
        <f>""</f>
        <v/>
      </c>
      <c r="BB26" t="str">
        <f>""</f>
        <v/>
      </c>
      <c r="BC26" t="str">
        <f>""</f>
        <v/>
      </c>
      <c r="BD26" t="str">
        <f>""</f>
        <v/>
      </c>
      <c r="BE26" t="str">
        <f>""</f>
        <v/>
      </c>
      <c r="BF26" t="str">
        <f>""</f>
        <v/>
      </c>
      <c r="BG26" t="str">
        <f>""</f>
        <v/>
      </c>
      <c r="BH26" t="str">
        <f>""</f>
        <v/>
      </c>
      <c r="BI26" t="str">
        <f>""</f>
        <v/>
      </c>
      <c r="BJ26" t="str">
        <f>""</f>
        <v/>
      </c>
      <c r="BK26" t="str">
        <f>""</f>
        <v/>
      </c>
      <c r="BL26" t="str">
        <f>""</f>
        <v/>
      </c>
      <c r="BM26" t="str">
        <f>""</f>
        <v/>
      </c>
      <c r="BN26" t="str">
        <f>""</f>
        <v/>
      </c>
      <c r="BO26" t="str">
        <f>""</f>
        <v/>
      </c>
      <c r="BP26" t="str">
        <f>""</f>
        <v/>
      </c>
      <c r="BQ26" t="str">
        <f>""</f>
        <v/>
      </c>
      <c r="BR26" t="str">
        <f>""</f>
        <v/>
      </c>
      <c r="BS26" t="str">
        <f>""</f>
        <v/>
      </c>
      <c r="BT26" t="str">
        <f>""</f>
        <v/>
      </c>
      <c r="BU26" t="str">
        <f>""</f>
        <v/>
      </c>
      <c r="BV26" t="str">
        <f>""</f>
        <v/>
      </c>
      <c r="BW26" t="str">
        <f>""</f>
        <v/>
      </c>
      <c r="BX26" t="str">
        <f>""</f>
        <v/>
      </c>
      <c r="BY26" t="str">
        <f>""</f>
        <v/>
      </c>
    </row>
    <row r="27" spans="1:77" x14ac:dyDescent="0.25">
      <c r="AP27" t="str">
        <f>""</f>
        <v/>
      </c>
      <c r="AQ27" t="str">
        <f>""</f>
        <v/>
      </c>
      <c r="AR27" t="str">
        <f>""</f>
        <v/>
      </c>
      <c r="AS27" t="str">
        <f>""</f>
        <v/>
      </c>
      <c r="AT27" t="str">
        <f>""</f>
        <v/>
      </c>
      <c r="AU27" t="str">
        <f>""</f>
        <v/>
      </c>
      <c r="AV27" t="str">
        <f>""</f>
        <v/>
      </c>
      <c r="AW27" t="str">
        <f>""</f>
        <v/>
      </c>
      <c r="AX27" t="str">
        <f>""</f>
        <v/>
      </c>
      <c r="AY27" t="str">
        <f>""</f>
        <v/>
      </c>
      <c r="AZ27" t="str">
        <f>""</f>
        <v/>
      </c>
      <c r="BA27" t="str">
        <f>""</f>
        <v/>
      </c>
      <c r="BB27" t="str">
        <f>""</f>
        <v/>
      </c>
      <c r="BC27" t="str">
        <f>""</f>
        <v/>
      </c>
      <c r="BD27" t="str">
        <f>""</f>
        <v/>
      </c>
      <c r="BE27" t="str">
        <f>""</f>
        <v/>
      </c>
      <c r="BF27" t="str">
        <f>""</f>
        <v/>
      </c>
      <c r="BG27" t="str">
        <f>""</f>
        <v/>
      </c>
      <c r="BH27" t="str">
        <f>""</f>
        <v/>
      </c>
      <c r="BI27" t="str">
        <f>""</f>
        <v/>
      </c>
      <c r="BJ27" t="str">
        <f>""</f>
        <v/>
      </c>
      <c r="BK27" t="str">
        <f>""</f>
        <v/>
      </c>
      <c r="BL27" t="str">
        <f>""</f>
        <v/>
      </c>
      <c r="BM27" t="str">
        <f>""</f>
        <v/>
      </c>
      <c r="BN27" t="str">
        <f>""</f>
        <v/>
      </c>
      <c r="BO27" t="str">
        <f>""</f>
        <v/>
      </c>
      <c r="BP27" t="str">
        <f>""</f>
        <v/>
      </c>
      <c r="BQ27" t="str">
        <f>""</f>
        <v/>
      </c>
      <c r="BR27" t="str">
        <f>""</f>
        <v/>
      </c>
      <c r="BS27" t="str">
        <f>""</f>
        <v/>
      </c>
      <c r="BT27" t="str">
        <f>""</f>
        <v/>
      </c>
      <c r="BU27" t="str">
        <f>""</f>
        <v/>
      </c>
      <c r="BV27" t="str">
        <f>""</f>
        <v/>
      </c>
      <c r="BW27" t="str">
        <f>""</f>
        <v/>
      </c>
      <c r="BX27" t="str">
        <f>""</f>
        <v/>
      </c>
      <c r="BY27" t="str">
        <f>""</f>
        <v/>
      </c>
    </row>
    <row r="28" spans="1:77" x14ac:dyDescent="0.25">
      <c r="AP28" t="str">
        <f>""</f>
        <v/>
      </c>
      <c r="AQ28" t="str">
        <f>""</f>
        <v/>
      </c>
      <c r="AR28" t="str">
        <f>""</f>
        <v/>
      </c>
      <c r="AS28" t="str">
        <f>""</f>
        <v/>
      </c>
      <c r="AT28" t="str">
        <f>""</f>
        <v/>
      </c>
      <c r="AU28" t="str">
        <f>""</f>
        <v/>
      </c>
      <c r="AV28" t="str">
        <f>""</f>
        <v/>
      </c>
      <c r="AW28" t="str">
        <f>""</f>
        <v/>
      </c>
      <c r="AX28" t="str">
        <f>""</f>
        <v/>
      </c>
      <c r="AY28" t="str">
        <f>""</f>
        <v/>
      </c>
      <c r="AZ28" t="str">
        <f>""</f>
        <v/>
      </c>
      <c r="BA28" t="str">
        <f>""</f>
        <v/>
      </c>
      <c r="BB28" t="str">
        <f>""</f>
        <v/>
      </c>
      <c r="BC28" t="str">
        <f>""</f>
        <v/>
      </c>
      <c r="BD28" t="str">
        <f>""</f>
        <v/>
      </c>
      <c r="BE28" t="str">
        <f>""</f>
        <v/>
      </c>
      <c r="BF28" t="str">
        <f>""</f>
        <v/>
      </c>
      <c r="BG28" t="str">
        <f>""</f>
        <v/>
      </c>
      <c r="BH28" t="str">
        <f>""</f>
        <v/>
      </c>
      <c r="BI28" t="str">
        <f>""</f>
        <v/>
      </c>
      <c r="BJ28" t="str">
        <f>""</f>
        <v/>
      </c>
      <c r="BK28" t="str">
        <f>""</f>
        <v/>
      </c>
      <c r="BL28" t="str">
        <f>""</f>
        <v/>
      </c>
      <c r="BM28" t="str">
        <f>""</f>
        <v/>
      </c>
      <c r="BN28" t="str">
        <f>""</f>
        <v/>
      </c>
      <c r="BO28" t="str">
        <f>""</f>
        <v/>
      </c>
      <c r="BP28" t="str">
        <f>""</f>
        <v/>
      </c>
      <c r="BQ28" t="str">
        <f>""</f>
        <v/>
      </c>
      <c r="BR28" t="str">
        <f>""</f>
        <v/>
      </c>
      <c r="BS28" t="str">
        <f>""</f>
        <v/>
      </c>
      <c r="BT28" t="str">
        <f>""</f>
        <v/>
      </c>
      <c r="BU28" t="str">
        <f>""</f>
        <v/>
      </c>
      <c r="BV28" t="str">
        <f>""</f>
        <v/>
      </c>
      <c r="BW28" t="str">
        <f>""</f>
        <v/>
      </c>
      <c r="BX28" t="str">
        <f>""</f>
        <v/>
      </c>
      <c r="BY28" t="str">
        <f>""</f>
        <v/>
      </c>
    </row>
    <row r="29" spans="1:77" x14ac:dyDescent="0.25">
      <c r="AP29" t="str">
        <f>""</f>
        <v/>
      </c>
      <c r="AQ29" t="str">
        <f>""</f>
        <v/>
      </c>
      <c r="AR29" t="str">
        <f>""</f>
        <v/>
      </c>
      <c r="AS29" t="str">
        <f>""</f>
        <v/>
      </c>
      <c r="AT29" t="str">
        <f>""</f>
        <v/>
      </c>
      <c r="AU29" t="str">
        <f>""</f>
        <v/>
      </c>
      <c r="AV29" t="str">
        <f>""</f>
        <v/>
      </c>
      <c r="AW29" t="str">
        <f>""</f>
        <v/>
      </c>
      <c r="AX29" t="str">
        <f>""</f>
        <v/>
      </c>
      <c r="AY29" t="str">
        <f>""</f>
        <v/>
      </c>
      <c r="AZ29" t="str">
        <f>""</f>
        <v/>
      </c>
      <c r="BA29" t="str">
        <f>""</f>
        <v/>
      </c>
      <c r="BB29" t="str">
        <f>""</f>
        <v/>
      </c>
      <c r="BC29" t="str">
        <f>""</f>
        <v/>
      </c>
      <c r="BD29" t="str">
        <f>""</f>
        <v/>
      </c>
      <c r="BE29" t="str">
        <f>""</f>
        <v/>
      </c>
      <c r="BF29" t="str">
        <f>""</f>
        <v/>
      </c>
      <c r="BG29" t="str">
        <f>""</f>
        <v/>
      </c>
      <c r="BH29" t="str">
        <f>""</f>
        <v/>
      </c>
      <c r="BI29" t="str">
        <f>""</f>
        <v/>
      </c>
      <c r="BJ29" t="str">
        <f>""</f>
        <v/>
      </c>
      <c r="BK29" t="str">
        <f>""</f>
        <v/>
      </c>
      <c r="BL29" t="str">
        <f>""</f>
        <v/>
      </c>
      <c r="BM29" t="str">
        <f>""</f>
        <v/>
      </c>
      <c r="BN29" t="str">
        <f>""</f>
        <v/>
      </c>
      <c r="BO29" t="str">
        <f>""</f>
        <v/>
      </c>
      <c r="BP29" t="str">
        <f>""</f>
        <v/>
      </c>
      <c r="BQ29" t="str">
        <f>""</f>
        <v/>
      </c>
      <c r="BR29" t="str">
        <f>""</f>
        <v/>
      </c>
      <c r="BS29" t="str">
        <f>""</f>
        <v/>
      </c>
      <c r="BT29" t="str">
        <f>""</f>
        <v/>
      </c>
      <c r="BU29" t="str">
        <f>""</f>
        <v/>
      </c>
      <c r="BV29" t="str">
        <f>""</f>
        <v/>
      </c>
      <c r="BW29" t="str">
        <f>""</f>
        <v/>
      </c>
      <c r="BX29" t="str">
        <f>""</f>
        <v/>
      </c>
      <c r="BY29" t="str">
        <f>""</f>
        <v/>
      </c>
    </row>
    <row r="30" spans="1:77" x14ac:dyDescent="0.25">
      <c r="A30" t="str">
        <f t="shared" ref="A30:AO30" si="9">"~~~~~~~~~~"</f>
        <v>~~~~~~~~~~</v>
      </c>
      <c r="B30" t="str">
        <f t="shared" si="9"/>
        <v>~~~~~~~~~~</v>
      </c>
      <c r="C30" t="str">
        <f t="shared" si="9"/>
        <v>~~~~~~~~~~</v>
      </c>
      <c r="D30" t="str">
        <f t="shared" si="9"/>
        <v>~~~~~~~~~~</v>
      </c>
      <c r="E30" t="str">
        <f t="shared" si="9"/>
        <v>~~~~~~~~~~</v>
      </c>
      <c r="F30" t="str">
        <f t="shared" si="9"/>
        <v>~~~~~~~~~~</v>
      </c>
      <c r="G30" t="str">
        <f t="shared" si="9"/>
        <v>~~~~~~~~~~</v>
      </c>
      <c r="H30" t="str">
        <f t="shared" si="9"/>
        <v>~~~~~~~~~~</v>
      </c>
      <c r="I30" t="str">
        <f t="shared" si="9"/>
        <v>~~~~~~~~~~</v>
      </c>
      <c r="J30" t="str">
        <f t="shared" si="9"/>
        <v>~~~~~~~~~~</v>
      </c>
      <c r="K30" t="str">
        <f t="shared" si="9"/>
        <v>~~~~~~~~~~</v>
      </c>
      <c r="L30" t="str">
        <f t="shared" si="9"/>
        <v>~~~~~~~~~~</v>
      </c>
      <c r="M30" t="str">
        <f t="shared" si="9"/>
        <v>~~~~~~~~~~</v>
      </c>
      <c r="N30" t="str">
        <f t="shared" si="9"/>
        <v>~~~~~~~~~~</v>
      </c>
      <c r="O30" t="str">
        <f t="shared" si="9"/>
        <v>~~~~~~~~~~</v>
      </c>
      <c r="P30" t="str">
        <f t="shared" si="9"/>
        <v>~~~~~~~~~~</v>
      </c>
      <c r="Q30" t="str">
        <f t="shared" si="9"/>
        <v>~~~~~~~~~~</v>
      </c>
      <c r="R30" t="str">
        <f t="shared" si="9"/>
        <v>~~~~~~~~~~</v>
      </c>
      <c r="S30" t="str">
        <f t="shared" si="9"/>
        <v>~~~~~~~~~~</v>
      </c>
      <c r="T30" t="str">
        <f t="shared" si="9"/>
        <v>~~~~~~~~~~</v>
      </c>
      <c r="U30" t="str">
        <f t="shared" si="9"/>
        <v>~~~~~~~~~~</v>
      </c>
      <c r="V30" t="str">
        <f t="shared" si="9"/>
        <v>~~~~~~~~~~</v>
      </c>
      <c r="W30" t="str">
        <f t="shared" si="9"/>
        <v>~~~~~~~~~~</v>
      </c>
      <c r="X30" t="str">
        <f t="shared" si="9"/>
        <v>~~~~~~~~~~</v>
      </c>
      <c r="Y30" t="str">
        <f t="shared" si="9"/>
        <v>~~~~~~~~~~</v>
      </c>
      <c r="Z30" t="str">
        <f t="shared" si="9"/>
        <v>~~~~~~~~~~</v>
      </c>
      <c r="AA30" t="str">
        <f t="shared" si="9"/>
        <v>~~~~~~~~~~</v>
      </c>
      <c r="AB30" t="str">
        <f t="shared" si="9"/>
        <v>~~~~~~~~~~</v>
      </c>
      <c r="AC30" t="str">
        <f t="shared" si="9"/>
        <v>~~~~~~~~~~</v>
      </c>
      <c r="AD30" t="str">
        <f t="shared" si="9"/>
        <v>~~~~~~~~~~</v>
      </c>
      <c r="AE30" t="str">
        <f t="shared" si="9"/>
        <v>~~~~~~~~~~</v>
      </c>
      <c r="AF30" t="str">
        <f t="shared" si="9"/>
        <v>~~~~~~~~~~</v>
      </c>
      <c r="AG30" t="str">
        <f t="shared" si="9"/>
        <v>~~~~~~~~~~</v>
      </c>
      <c r="AH30" t="str">
        <f t="shared" si="9"/>
        <v>~~~~~~~~~~</v>
      </c>
      <c r="AI30" t="str">
        <f t="shared" si="9"/>
        <v>~~~~~~~~~~</v>
      </c>
      <c r="AJ30" t="str">
        <f t="shared" si="9"/>
        <v>~~~~~~~~~~</v>
      </c>
      <c r="AK30" t="str">
        <f t="shared" si="9"/>
        <v>~~~~~~~~~~</v>
      </c>
      <c r="AL30" t="str">
        <f t="shared" si="9"/>
        <v>~~~~~~~~~~</v>
      </c>
      <c r="AM30" t="str">
        <f t="shared" si="9"/>
        <v>~~~~~~~~~~</v>
      </c>
      <c r="AN30" t="str">
        <f t="shared" si="9"/>
        <v>~~~~~~~~~~</v>
      </c>
      <c r="AO30" t="str">
        <f t="shared" si="9"/>
        <v>~~~~~~~~~~</v>
      </c>
      <c r="AP30" t="str">
        <f>""</f>
        <v/>
      </c>
      <c r="AQ30" t="str">
        <f>""</f>
        <v/>
      </c>
      <c r="AR30" t="str">
        <f>""</f>
        <v/>
      </c>
      <c r="AS30" t="str">
        <f>""</f>
        <v/>
      </c>
      <c r="AT30" t="str">
        <f>""</f>
        <v/>
      </c>
      <c r="AU30" t="str">
        <f>""</f>
        <v/>
      </c>
      <c r="AV30" t="str">
        <f>""</f>
        <v/>
      </c>
      <c r="AW30" t="str">
        <f>""</f>
        <v/>
      </c>
      <c r="AX30" t="str">
        <f>""</f>
        <v/>
      </c>
      <c r="AY30" t="str">
        <f>""</f>
        <v/>
      </c>
      <c r="AZ30" t="str">
        <f>""</f>
        <v/>
      </c>
      <c r="BA30" t="str">
        <f>""</f>
        <v/>
      </c>
      <c r="BB30" t="str">
        <f>""</f>
        <v/>
      </c>
      <c r="BC30" t="str">
        <f>""</f>
        <v/>
      </c>
      <c r="BD30" t="str">
        <f>""</f>
        <v/>
      </c>
      <c r="BE30" t="str">
        <f>""</f>
        <v/>
      </c>
      <c r="BF30" t="str">
        <f>""</f>
        <v/>
      </c>
      <c r="BG30" t="str">
        <f>""</f>
        <v/>
      </c>
      <c r="BH30" t="str">
        <f>""</f>
        <v/>
      </c>
      <c r="BI30" t="str">
        <f>""</f>
        <v/>
      </c>
      <c r="BJ30" t="str">
        <f>""</f>
        <v/>
      </c>
      <c r="BK30" t="str">
        <f>""</f>
        <v/>
      </c>
      <c r="BL30" t="str">
        <f>""</f>
        <v/>
      </c>
      <c r="BM30" t="str">
        <f>""</f>
        <v/>
      </c>
      <c r="BN30" t="str">
        <f>""</f>
        <v/>
      </c>
      <c r="BO30" t="str">
        <f>""</f>
        <v/>
      </c>
      <c r="BP30" t="str">
        <f>""</f>
        <v/>
      </c>
      <c r="BQ30" t="str">
        <f>""</f>
        <v/>
      </c>
      <c r="BR30" t="str">
        <f>""</f>
        <v/>
      </c>
      <c r="BS30" t="str">
        <f>""</f>
        <v/>
      </c>
      <c r="BT30" t="str">
        <f>""</f>
        <v/>
      </c>
      <c r="BU30" t="str">
        <f>""</f>
        <v/>
      </c>
      <c r="BV30" t="str">
        <f>""</f>
        <v/>
      </c>
      <c r="BW30" t="str">
        <f>""</f>
        <v/>
      </c>
      <c r="BX30" t="str">
        <f>""</f>
        <v/>
      </c>
      <c r="BY30" t="str">
        <f>""</f>
        <v/>
      </c>
    </row>
    <row r="31" spans="1:77" x14ac:dyDescent="0.25">
      <c r="A31" t="str">
        <f>"All rows below have been added for reference by formula rows above."</f>
        <v>All rows below have been added for reference by formula rows above.</v>
      </c>
      <c r="AP31" t="str">
        <f>""</f>
        <v/>
      </c>
      <c r="AQ31" t="str">
        <f>""</f>
        <v/>
      </c>
      <c r="AR31" t="str">
        <f>""</f>
        <v/>
      </c>
      <c r="AS31" t="str">
        <f>""</f>
        <v/>
      </c>
      <c r="AT31" t="str">
        <f>""</f>
        <v/>
      </c>
      <c r="AU31" t="str">
        <f>""</f>
        <v/>
      </c>
      <c r="AV31" t="str">
        <f>""</f>
        <v/>
      </c>
      <c r="AW31" t="str">
        <f>""</f>
        <v/>
      </c>
      <c r="AX31" t="str">
        <f>""</f>
        <v/>
      </c>
      <c r="AY31" t="str">
        <f>""</f>
        <v/>
      </c>
      <c r="AZ31" t="str">
        <f>""</f>
        <v/>
      </c>
      <c r="BA31" t="str">
        <f>""</f>
        <v/>
      </c>
      <c r="BB31" t="str">
        <f>""</f>
        <v/>
      </c>
      <c r="BC31" t="str">
        <f>""</f>
        <v/>
      </c>
      <c r="BD31" t="str">
        <f>""</f>
        <v/>
      </c>
      <c r="BE31" t="str">
        <f>""</f>
        <v/>
      </c>
      <c r="BF31" t="str">
        <f>""</f>
        <v/>
      </c>
      <c r="BG31" t="str">
        <f>""</f>
        <v/>
      </c>
      <c r="BH31" t="str">
        <f>""</f>
        <v/>
      </c>
      <c r="BI31" t="str">
        <f>""</f>
        <v/>
      </c>
      <c r="BJ31" t="str">
        <f>""</f>
        <v/>
      </c>
      <c r="BK31" t="str">
        <f>""</f>
        <v/>
      </c>
      <c r="BL31" t="str">
        <f>""</f>
        <v/>
      </c>
      <c r="BM31" t="str">
        <f>""</f>
        <v/>
      </c>
      <c r="BN31" t="str">
        <f>""</f>
        <v/>
      </c>
      <c r="BO31" t="str">
        <f>""</f>
        <v/>
      </c>
      <c r="BP31" t="str">
        <f>""</f>
        <v/>
      </c>
      <c r="BQ31" t="str">
        <f>""</f>
        <v/>
      </c>
      <c r="BR31" t="str">
        <f>""</f>
        <v/>
      </c>
      <c r="BS31" t="str">
        <f>""</f>
        <v/>
      </c>
      <c r="BT31" t="str">
        <f>""</f>
        <v/>
      </c>
      <c r="BU31" t="str">
        <f>""</f>
        <v/>
      </c>
      <c r="BV31" t="str">
        <f>""</f>
        <v/>
      </c>
      <c r="BW31" t="str">
        <f>""</f>
        <v/>
      </c>
      <c r="BX31" t="str">
        <f>""</f>
        <v/>
      </c>
      <c r="BY31" t="str">
        <f>""</f>
        <v/>
      </c>
    </row>
    <row r="32" spans="1:77" x14ac:dyDescent="0.25">
      <c r="A32" t="e">
        <f>RTD("bloomberg.ccyreader", "", "#track", "DBG", "BIHITX", "1.0","RepeatHit")</f>
        <v>#N/A</v>
      </c>
      <c r="AP32" t="str">
        <f>""</f>
        <v/>
      </c>
      <c r="AQ32" t="str">
        <f>""</f>
        <v/>
      </c>
      <c r="AR32" t="str">
        <f>""</f>
        <v/>
      </c>
      <c r="AS32" t="str">
        <f>""</f>
        <v/>
      </c>
      <c r="AT32" t="str">
        <f>""</f>
        <v/>
      </c>
      <c r="AU32" t="str">
        <f>""</f>
        <v/>
      </c>
      <c r="AV32" t="str">
        <f>""</f>
        <v/>
      </c>
      <c r="AW32" t="str">
        <f>""</f>
        <v/>
      </c>
      <c r="AX32" t="str">
        <f>""</f>
        <v/>
      </c>
      <c r="AY32" t="str">
        <f>""</f>
        <v/>
      </c>
      <c r="AZ32" t="str">
        <f>""</f>
        <v/>
      </c>
      <c r="BA32" t="str">
        <f>""</f>
        <v/>
      </c>
      <c r="BB32" t="str">
        <f>""</f>
        <v/>
      </c>
      <c r="BC32" t="str">
        <f>""</f>
        <v/>
      </c>
      <c r="BD32" t="str">
        <f>""</f>
        <v/>
      </c>
      <c r="BE32" t="str">
        <f>""</f>
        <v/>
      </c>
      <c r="BF32" t="str">
        <f>""</f>
        <v/>
      </c>
      <c r="BG32" t="str">
        <f>""</f>
        <v/>
      </c>
      <c r="BH32" t="str">
        <f>""</f>
        <v/>
      </c>
      <c r="BI32" t="str">
        <f>""</f>
        <v/>
      </c>
      <c r="BJ32" t="str">
        <f>""</f>
        <v/>
      </c>
      <c r="BK32" t="str">
        <f>""</f>
        <v/>
      </c>
      <c r="BL32" t="str">
        <f>""</f>
        <v/>
      </c>
      <c r="BM32" t="str">
        <f>""</f>
        <v/>
      </c>
      <c r="BN32" t="str">
        <f>""</f>
        <v/>
      </c>
      <c r="BO32" t="str">
        <f>""</f>
        <v/>
      </c>
      <c r="BP32" t="str">
        <f>""</f>
        <v/>
      </c>
      <c r="BQ32" t="str">
        <f>""</f>
        <v/>
      </c>
      <c r="BR32" t="str">
        <f>""</f>
        <v/>
      </c>
      <c r="BS32" t="str">
        <f>""</f>
        <v/>
      </c>
      <c r="BT32" t="str">
        <f>""</f>
        <v/>
      </c>
      <c r="BU32" t="str">
        <f>""</f>
        <v/>
      </c>
      <c r="BV32" t="str">
        <f>""</f>
        <v/>
      </c>
      <c r="BW32" t="str">
        <f>""</f>
        <v/>
      </c>
      <c r="BX32" t="str">
        <f>""</f>
        <v/>
      </c>
      <c r="BY32" t="str">
        <f>""</f>
        <v/>
      </c>
    </row>
    <row r="33" spans="1:77" x14ac:dyDescent="0.25">
      <c r="A33" t="str">
        <f>"Currency"</f>
        <v>Currency</v>
      </c>
      <c r="B33" t="str">
        <f>"USD"</f>
        <v>USD</v>
      </c>
      <c r="AP33" t="str">
        <f>""</f>
        <v/>
      </c>
      <c r="AQ33" t="str">
        <f>""</f>
        <v/>
      </c>
      <c r="AR33" t="str">
        <f>""</f>
        <v/>
      </c>
      <c r="AS33" t="str">
        <f>""</f>
        <v/>
      </c>
      <c r="AT33" t="str">
        <f>""</f>
        <v/>
      </c>
      <c r="AU33" t="str">
        <f>""</f>
        <v/>
      </c>
      <c r="AV33" t="str">
        <f>""</f>
        <v/>
      </c>
      <c r="AW33" t="str">
        <f>""</f>
        <v/>
      </c>
      <c r="AX33" t="str">
        <f>""</f>
        <v/>
      </c>
      <c r="AY33" t="str">
        <f>""</f>
        <v/>
      </c>
      <c r="AZ33" t="str">
        <f>""</f>
        <v/>
      </c>
      <c r="BA33" t="str">
        <f>""</f>
        <v/>
      </c>
      <c r="BB33" t="str">
        <f>""</f>
        <v/>
      </c>
      <c r="BC33" t="str">
        <f>""</f>
        <v/>
      </c>
      <c r="BD33" t="str">
        <f>""</f>
        <v/>
      </c>
      <c r="BE33" t="str">
        <f>""</f>
        <v/>
      </c>
      <c r="BF33" t="str">
        <f>""</f>
        <v/>
      </c>
      <c r="BG33" t="str">
        <f>""</f>
        <v/>
      </c>
      <c r="BH33" t="str">
        <f>""</f>
        <v/>
      </c>
      <c r="BI33" t="str">
        <f>""</f>
        <v/>
      </c>
      <c r="BJ33" t="str">
        <f>""</f>
        <v/>
      </c>
      <c r="BK33" t="str">
        <f>""</f>
        <v/>
      </c>
      <c r="BL33" t="str">
        <f>""</f>
        <v/>
      </c>
      <c r="BM33" t="str">
        <f>""</f>
        <v/>
      </c>
      <c r="BN33" t="str">
        <f>""</f>
        <v/>
      </c>
      <c r="BO33" t="str">
        <f>""</f>
        <v/>
      </c>
      <c r="BP33" t="str">
        <f>""</f>
        <v/>
      </c>
      <c r="BQ33" t="str">
        <f>""</f>
        <v/>
      </c>
      <c r="BR33" t="str">
        <f>""</f>
        <v/>
      </c>
      <c r="BS33" t="str">
        <f>""</f>
        <v/>
      </c>
      <c r="BT33" t="str">
        <f>""</f>
        <v/>
      </c>
      <c r="BU33" t="str">
        <f>""</f>
        <v/>
      </c>
      <c r="BV33" t="str">
        <f>""</f>
        <v/>
      </c>
      <c r="BW33" t="str">
        <f>""</f>
        <v/>
      </c>
      <c r="BX33" t="str">
        <f>""</f>
        <v/>
      </c>
      <c r="BY33" t="str">
        <f>""</f>
        <v/>
      </c>
    </row>
    <row r="34" spans="1:77" x14ac:dyDescent="0.25">
      <c r="A34" t="str">
        <f>"Periodicity"</f>
        <v>Periodicity</v>
      </c>
      <c r="B34" t="str">
        <f>"CQ"</f>
        <v>CQ</v>
      </c>
      <c r="C34" t="str">
        <f>"AQ"</f>
        <v>AQ</v>
      </c>
      <c r="AP34" t="str">
        <f>""</f>
        <v/>
      </c>
      <c r="AQ34" t="str">
        <f>""</f>
        <v/>
      </c>
      <c r="AR34" t="str">
        <f>""</f>
        <v/>
      </c>
      <c r="AS34" t="str">
        <f>""</f>
        <v/>
      </c>
      <c r="AT34" t="str">
        <f>""</f>
        <v/>
      </c>
      <c r="AU34" t="str">
        <f>""</f>
        <v/>
      </c>
      <c r="AV34" t="str">
        <f>""</f>
        <v/>
      </c>
      <c r="AW34" t="str">
        <f>""</f>
        <v/>
      </c>
      <c r="AX34" t="str">
        <f>""</f>
        <v/>
      </c>
      <c r="AY34" t="str">
        <f>""</f>
        <v/>
      </c>
      <c r="AZ34" t="str">
        <f>""</f>
        <v/>
      </c>
      <c r="BA34" t="str">
        <f>""</f>
        <v/>
      </c>
      <c r="BB34" t="str">
        <f>""</f>
        <v/>
      </c>
      <c r="BC34" t="str">
        <f>""</f>
        <v/>
      </c>
      <c r="BD34" t="str">
        <f>""</f>
        <v/>
      </c>
      <c r="BE34" t="str">
        <f>""</f>
        <v/>
      </c>
      <c r="BF34" t="str">
        <f>""</f>
        <v/>
      </c>
      <c r="BG34" t="str">
        <f>""</f>
        <v/>
      </c>
      <c r="BH34" t="str">
        <f>""</f>
        <v/>
      </c>
      <c r="BI34" t="str">
        <f>""</f>
        <v/>
      </c>
      <c r="BJ34" t="str">
        <f>""</f>
        <v/>
      </c>
      <c r="BK34" t="str">
        <f>""</f>
        <v/>
      </c>
      <c r="BL34" t="str">
        <f>""</f>
        <v/>
      </c>
      <c r="BM34" t="str">
        <f>""</f>
        <v/>
      </c>
      <c r="BN34" t="str">
        <f>""</f>
        <v/>
      </c>
      <c r="BO34" t="str">
        <f>""</f>
        <v/>
      </c>
      <c r="BP34" t="str">
        <f>""</f>
        <v/>
      </c>
      <c r="BQ34" t="str">
        <f>""</f>
        <v/>
      </c>
      <c r="BR34" t="str">
        <f>""</f>
        <v/>
      </c>
      <c r="BS34" t="str">
        <f>""</f>
        <v/>
      </c>
      <c r="BT34" t="str">
        <f>""</f>
        <v/>
      </c>
      <c r="BU34" t="str">
        <f>""</f>
        <v/>
      </c>
      <c r="BV34" t="str">
        <f>""</f>
        <v/>
      </c>
      <c r="BW34" t="str">
        <f>""</f>
        <v/>
      </c>
      <c r="BX34" t="str">
        <f>""</f>
        <v/>
      </c>
      <c r="BY34" t="str">
        <f>""</f>
        <v/>
      </c>
    </row>
    <row r="35" spans="1:77" x14ac:dyDescent="0.25">
      <c r="A35" t="str">
        <f>"Number of Periods"</f>
        <v>Number of Periods</v>
      </c>
      <c r="B35">
        <f>36</f>
        <v>36</v>
      </c>
      <c r="AP35" t="str">
        <f>""</f>
        <v/>
      </c>
      <c r="AQ35" t="str">
        <f>""</f>
        <v/>
      </c>
      <c r="AR35" t="str">
        <f>""</f>
        <v/>
      </c>
      <c r="AS35" t="str">
        <f>""</f>
        <v/>
      </c>
      <c r="AT35" t="str">
        <f>""</f>
        <v/>
      </c>
      <c r="AU35" t="str">
        <f>""</f>
        <v/>
      </c>
      <c r="AV35" t="str">
        <f>""</f>
        <v/>
      </c>
      <c r="AW35" t="str">
        <f>""</f>
        <v/>
      </c>
      <c r="AX35" t="str">
        <f>""</f>
        <v/>
      </c>
      <c r="AY35" t="str">
        <f>""</f>
        <v/>
      </c>
      <c r="AZ35" t="str">
        <f>""</f>
        <v/>
      </c>
      <c r="BA35" t="str">
        <f>""</f>
        <v/>
      </c>
      <c r="BB35" t="str">
        <f>""</f>
        <v/>
      </c>
      <c r="BC35" t="str">
        <f>""</f>
        <v/>
      </c>
      <c r="BD35" t="str">
        <f>""</f>
        <v/>
      </c>
      <c r="BE35" t="str">
        <f>""</f>
        <v/>
      </c>
      <c r="BF35" t="str">
        <f>""</f>
        <v/>
      </c>
      <c r="BG35" t="str">
        <f>""</f>
        <v/>
      </c>
      <c r="BH35" t="str">
        <f>""</f>
        <v/>
      </c>
      <c r="BI35" t="str">
        <f>""</f>
        <v/>
      </c>
      <c r="BJ35" t="str">
        <f>""</f>
        <v/>
      </c>
      <c r="BK35" t="str">
        <f>""</f>
        <v/>
      </c>
      <c r="BL35" t="str">
        <f>""</f>
        <v/>
      </c>
      <c r="BM35" t="str">
        <f>""</f>
        <v/>
      </c>
      <c r="BN35" t="str">
        <f>""</f>
        <v/>
      </c>
      <c r="BO35" t="str">
        <f>""</f>
        <v/>
      </c>
      <c r="BP35" t="str">
        <f>""</f>
        <v/>
      </c>
      <c r="BQ35" t="str">
        <f>""</f>
        <v/>
      </c>
      <c r="BR35" t="str">
        <f>""</f>
        <v/>
      </c>
      <c r="BS35" t="str">
        <f>""</f>
        <v/>
      </c>
      <c r="BT35" t="str">
        <f>""</f>
        <v/>
      </c>
      <c r="BU35" t="str">
        <f>""</f>
        <v/>
      </c>
      <c r="BV35" t="str">
        <f>""</f>
        <v/>
      </c>
      <c r="BW35" t="str">
        <f>""</f>
        <v/>
      </c>
      <c r="BX35" t="str">
        <f>""</f>
        <v/>
      </c>
      <c r="BY35" t="str">
        <f>""</f>
        <v/>
      </c>
    </row>
    <row r="36" spans="1:77" x14ac:dyDescent="0.25">
      <c r="A36" t="str">
        <f>"Start Date"</f>
        <v>Start Date</v>
      </c>
      <c r="B36" t="str">
        <f>CONCATENATE("-",$B$35,$B$34)</f>
        <v>-36CQ</v>
      </c>
      <c r="C36" t="str">
        <f>CONCATENATE("-",$B$35,$C$34)</f>
        <v>-36AQ</v>
      </c>
      <c r="AP36" t="str">
        <f>""</f>
        <v/>
      </c>
      <c r="AQ36" t="str">
        <f>""</f>
        <v/>
      </c>
      <c r="AR36" t="str">
        <f>""</f>
        <v/>
      </c>
      <c r="AS36" t="str">
        <f>""</f>
        <v/>
      </c>
      <c r="AT36" t="str">
        <f>""</f>
        <v/>
      </c>
      <c r="AU36" t="str">
        <f>""</f>
        <v/>
      </c>
      <c r="AV36" t="str">
        <f>""</f>
        <v/>
      </c>
      <c r="AW36" t="str">
        <f>""</f>
        <v/>
      </c>
      <c r="AX36" t="str">
        <f>""</f>
        <v/>
      </c>
      <c r="AY36" t="str">
        <f>""</f>
        <v/>
      </c>
      <c r="AZ36" t="str">
        <f>""</f>
        <v/>
      </c>
      <c r="BA36" t="str">
        <f>""</f>
        <v/>
      </c>
      <c r="BB36" t="str">
        <f>""</f>
        <v/>
      </c>
      <c r="BC36" t="str">
        <f>""</f>
        <v/>
      </c>
      <c r="BD36" t="str">
        <f>""</f>
        <v/>
      </c>
      <c r="BE36" t="str">
        <f>""</f>
        <v/>
      </c>
      <c r="BF36" t="str">
        <f>""</f>
        <v/>
      </c>
      <c r="BG36" t="str">
        <f>""</f>
        <v/>
      </c>
      <c r="BH36" t="str">
        <f>""</f>
        <v/>
      </c>
      <c r="BI36" t="str">
        <f>""</f>
        <v/>
      </c>
      <c r="BJ36" t="str">
        <f>""</f>
        <v/>
      </c>
      <c r="BK36" t="str">
        <f>""</f>
        <v/>
      </c>
      <c r="BL36" t="str">
        <f>""</f>
        <v/>
      </c>
      <c r="BM36" t="str">
        <f>""</f>
        <v/>
      </c>
      <c r="BN36" t="str">
        <f>""</f>
        <v/>
      </c>
      <c r="BO36" t="str">
        <f>""</f>
        <v/>
      </c>
      <c r="BP36" t="str">
        <f>""</f>
        <v/>
      </c>
      <c r="BQ36" t="str">
        <f>""</f>
        <v/>
      </c>
      <c r="BR36" t="str">
        <f>""</f>
        <v/>
      </c>
      <c r="BS36" t="str">
        <f>""</f>
        <v/>
      </c>
      <c r="BT36" t="str">
        <f>""</f>
        <v/>
      </c>
      <c r="BU36" t="str">
        <f>""</f>
        <v/>
      </c>
      <c r="BV36" t="str">
        <f>""</f>
        <v/>
      </c>
      <c r="BW36" t="str">
        <f>""</f>
        <v/>
      </c>
      <c r="BX36" t="str">
        <f>""</f>
        <v/>
      </c>
      <c r="BY36" t="str">
        <f>""</f>
        <v/>
      </c>
    </row>
    <row r="37" spans="1:77" x14ac:dyDescent="0.25">
      <c r="A37" t="str">
        <f>"End Date"</f>
        <v>End Date</v>
      </c>
      <c r="B37">
        <f ca="1">TODAY()</f>
        <v>46066</v>
      </c>
      <c r="AP37" t="str">
        <f>""</f>
        <v/>
      </c>
      <c r="AQ37" t="str">
        <f>""</f>
        <v/>
      </c>
      <c r="AR37" t="str">
        <f>""</f>
        <v/>
      </c>
      <c r="AS37" t="str">
        <f>""</f>
        <v/>
      </c>
      <c r="AT37" t="str">
        <f>""</f>
        <v/>
      </c>
      <c r="AU37" t="str">
        <f>""</f>
        <v/>
      </c>
      <c r="AV37" t="str">
        <f>""</f>
        <v/>
      </c>
      <c r="AW37" t="str">
        <f>""</f>
        <v/>
      </c>
      <c r="AX37" t="str">
        <f>""</f>
        <v/>
      </c>
      <c r="AY37" t="str">
        <f>""</f>
        <v/>
      </c>
      <c r="AZ37" t="str">
        <f>""</f>
        <v/>
      </c>
      <c r="BA37" t="str">
        <f>""</f>
        <v/>
      </c>
      <c r="BB37" t="str">
        <f>""</f>
        <v/>
      </c>
      <c r="BC37" t="str">
        <f>""</f>
        <v/>
      </c>
      <c r="BD37" t="str">
        <f>""</f>
        <v/>
      </c>
      <c r="BE37" t="str">
        <f>""</f>
        <v/>
      </c>
      <c r="BF37" t="str">
        <f>""</f>
        <v/>
      </c>
      <c r="BG37" t="str">
        <f>""</f>
        <v/>
      </c>
      <c r="BH37" t="str">
        <f>""</f>
        <v/>
      </c>
      <c r="BI37" t="str">
        <f>""</f>
        <v/>
      </c>
      <c r="BJ37" t="str">
        <f>""</f>
        <v/>
      </c>
      <c r="BK37" t="str">
        <f>""</f>
        <v/>
      </c>
      <c r="BL37" t="str">
        <f>""</f>
        <v/>
      </c>
      <c r="BM37" t="str">
        <f>""</f>
        <v/>
      </c>
      <c r="BN37" t="str">
        <f>""</f>
        <v/>
      </c>
      <c r="BO37" t="str">
        <f>""</f>
        <v/>
      </c>
      <c r="BP37" t="str">
        <f>""</f>
        <v/>
      </c>
      <c r="BQ37" t="str">
        <f>""</f>
        <v/>
      </c>
      <c r="BR37" t="str">
        <f>""</f>
        <v/>
      </c>
      <c r="BS37" t="str">
        <f>""</f>
        <v/>
      </c>
      <c r="BT37" t="str">
        <f>""</f>
        <v/>
      </c>
      <c r="BU37" t="str">
        <f>""</f>
        <v/>
      </c>
      <c r="BV37" t="str">
        <f>""</f>
        <v/>
      </c>
      <c r="BW37" t="str">
        <f>""</f>
        <v/>
      </c>
      <c r="BX37" t="str">
        <f>""</f>
        <v/>
      </c>
      <c r="BY37" t="str">
        <f>""</f>
        <v/>
      </c>
    </row>
    <row r="38" spans="1:77" x14ac:dyDescent="0.25">
      <c r="A38" t="str">
        <f>"HeaderStatus"</f>
        <v>HeaderStatus</v>
      </c>
      <c r="B38">
        <f>$B$40*$B$40</f>
        <v>4</v>
      </c>
      <c r="AP38" t="str">
        <f>""</f>
        <v/>
      </c>
      <c r="AQ38" t="str">
        <f>""</f>
        <v/>
      </c>
      <c r="AR38" t="str">
        <f>""</f>
        <v/>
      </c>
      <c r="AS38" t="str">
        <f>""</f>
        <v/>
      </c>
      <c r="AT38" t="str">
        <f>""</f>
        <v/>
      </c>
      <c r="AU38" t="str">
        <f>""</f>
        <v/>
      </c>
      <c r="AV38" t="str">
        <f>""</f>
        <v/>
      </c>
      <c r="AW38" t="str">
        <f>""</f>
        <v/>
      </c>
      <c r="AX38" t="str">
        <f>""</f>
        <v/>
      </c>
      <c r="AY38" t="str">
        <f>""</f>
        <v/>
      </c>
      <c r="AZ38" t="str">
        <f>""</f>
        <v/>
      </c>
      <c r="BA38" t="str">
        <f>""</f>
        <v/>
      </c>
      <c r="BB38" t="str">
        <f>""</f>
        <v/>
      </c>
      <c r="BC38" t="str">
        <f>""</f>
        <v/>
      </c>
      <c r="BD38" t="str">
        <f>""</f>
        <v/>
      </c>
      <c r="BE38" t="str">
        <f>""</f>
        <v/>
      </c>
      <c r="BF38" t="str">
        <f>""</f>
        <v/>
      </c>
      <c r="BG38" t="str">
        <f>""</f>
        <v/>
      </c>
      <c r="BH38" t="str">
        <f>""</f>
        <v/>
      </c>
      <c r="BI38" t="str">
        <f>""</f>
        <v/>
      </c>
      <c r="BJ38" t="str">
        <f>""</f>
        <v/>
      </c>
      <c r="BK38" t="str">
        <f>""</f>
        <v/>
      </c>
      <c r="BL38" t="str">
        <f>""</f>
        <v/>
      </c>
      <c r="BM38" t="str">
        <f>""</f>
        <v/>
      </c>
      <c r="BN38" t="str">
        <f>""</f>
        <v/>
      </c>
      <c r="BO38" t="str">
        <f>""</f>
        <v/>
      </c>
      <c r="BP38" t="str">
        <f>""</f>
        <v/>
      </c>
      <c r="BQ38" t="str">
        <f>""</f>
        <v/>
      </c>
      <c r="BR38" t="str">
        <f>""</f>
        <v/>
      </c>
      <c r="BS38" t="str">
        <f>""</f>
        <v/>
      </c>
      <c r="BT38" t="str">
        <f>""</f>
        <v/>
      </c>
      <c r="BU38" t="str">
        <f>""</f>
        <v/>
      </c>
      <c r="BV38" t="str">
        <f>""</f>
        <v/>
      </c>
      <c r="BW38" t="str">
        <f>""</f>
        <v/>
      </c>
      <c r="BX38" t="str">
        <f>""</f>
        <v/>
      </c>
      <c r="BY38" t="str">
        <f>""</f>
        <v/>
      </c>
    </row>
    <row r="39" spans="1:77" x14ac:dyDescent="0.25">
      <c r="AP39" t="str">
        <f>""</f>
        <v/>
      </c>
      <c r="AQ39" t="str">
        <f>""</f>
        <v/>
      </c>
      <c r="AR39" t="str">
        <f>""</f>
        <v/>
      </c>
      <c r="AS39" t="str">
        <f>""</f>
        <v/>
      </c>
      <c r="AT39" t="str">
        <f>""</f>
        <v/>
      </c>
      <c r="AU39" t="str">
        <f>""</f>
        <v/>
      </c>
      <c r="AV39" t="str">
        <f>""</f>
        <v/>
      </c>
      <c r="AW39" t="str">
        <f>""</f>
        <v/>
      </c>
      <c r="AX39" t="str">
        <f>""</f>
        <v/>
      </c>
      <c r="AY39" t="str">
        <f>""</f>
        <v/>
      </c>
      <c r="AZ39" t="str">
        <f>""</f>
        <v/>
      </c>
      <c r="BA39" t="str">
        <f>""</f>
        <v/>
      </c>
      <c r="BB39" t="str">
        <f>""</f>
        <v/>
      </c>
      <c r="BC39" t="str">
        <f>""</f>
        <v/>
      </c>
      <c r="BD39" t="str">
        <f>""</f>
        <v/>
      </c>
      <c r="BE39" t="str">
        <f>""</f>
        <v/>
      </c>
      <c r="BF39" t="str">
        <f>""</f>
        <v/>
      </c>
      <c r="BG39" t="str">
        <f>""</f>
        <v/>
      </c>
      <c r="BH39" t="str">
        <f>""</f>
        <v/>
      </c>
      <c r="BI39" t="str">
        <f>""</f>
        <v/>
      </c>
      <c r="BJ39" t="str">
        <f>""</f>
        <v/>
      </c>
      <c r="BK39" t="str">
        <f>""</f>
        <v/>
      </c>
      <c r="BL39" t="str">
        <f>""</f>
        <v/>
      </c>
      <c r="BM39" t="str">
        <f>""</f>
        <v/>
      </c>
      <c r="BN39" t="str">
        <f>""</f>
        <v/>
      </c>
      <c r="BO39" t="str">
        <f>""</f>
        <v/>
      </c>
      <c r="BP39" t="str">
        <f>""</f>
        <v/>
      </c>
      <c r="BQ39" t="str">
        <f>""</f>
        <v/>
      </c>
      <c r="BR39" t="str">
        <f>""</f>
        <v/>
      </c>
      <c r="BS39" t="str">
        <f>""</f>
        <v/>
      </c>
      <c r="BT39" t="str">
        <f>""</f>
        <v/>
      </c>
      <c r="BU39" t="str">
        <f>""</f>
        <v/>
      </c>
      <c r="BV39" t="str">
        <f>""</f>
        <v/>
      </c>
      <c r="BW39" t="str">
        <f>""</f>
        <v/>
      </c>
      <c r="BX39" t="str">
        <f>""</f>
        <v/>
      </c>
      <c r="BY39" t="str">
        <f>""</f>
        <v/>
      </c>
    </row>
    <row r="40" spans="1:77" x14ac:dyDescent="0.25">
      <c r="A40" t="str">
        <f>"Snapshot header"</f>
        <v>Snapshot header</v>
      </c>
      <c r="B40">
        <f>2</f>
        <v>2</v>
      </c>
      <c r="C40" t="str">
        <f>"2025 Q4"</f>
        <v>2025 Q4</v>
      </c>
      <c r="D40" t="str">
        <f>"2025 Q3"</f>
        <v>2025 Q3</v>
      </c>
      <c r="E40" t="str">
        <f>"2025 Q2"</f>
        <v>2025 Q2</v>
      </c>
      <c r="F40" t="str">
        <f>"2025 Q1"</f>
        <v>2025 Q1</v>
      </c>
      <c r="G40" t="str">
        <f>"2024 Q4"</f>
        <v>2024 Q4</v>
      </c>
      <c r="H40" t="str">
        <f>"2024 Q3"</f>
        <v>2024 Q3</v>
      </c>
      <c r="I40" t="str">
        <f>"2024 Q2"</f>
        <v>2024 Q2</v>
      </c>
      <c r="J40" t="str">
        <f>"2024 Q1"</f>
        <v>2024 Q1</v>
      </c>
      <c r="K40" t="str">
        <f>"2023 Q4"</f>
        <v>2023 Q4</v>
      </c>
      <c r="L40" t="str">
        <f>"2023 Q3"</f>
        <v>2023 Q3</v>
      </c>
      <c r="M40" t="str">
        <f>"2023 Q2"</f>
        <v>2023 Q2</v>
      </c>
      <c r="N40" t="str">
        <f>"2023 Q1"</f>
        <v>2023 Q1</v>
      </c>
      <c r="O40" t="str">
        <f>"2022 Q4"</f>
        <v>2022 Q4</v>
      </c>
      <c r="P40" t="str">
        <f>"2022 Q3"</f>
        <v>2022 Q3</v>
      </c>
      <c r="Q40" t="str">
        <f>"2022 Q2"</f>
        <v>2022 Q2</v>
      </c>
      <c r="R40" t="str">
        <f>"2022 Q1"</f>
        <v>2022 Q1</v>
      </c>
      <c r="S40" t="str">
        <f>"2021 Q4"</f>
        <v>2021 Q4</v>
      </c>
      <c r="T40" t="str">
        <f>"2021 Q3"</f>
        <v>2021 Q3</v>
      </c>
      <c r="U40" t="str">
        <f>"2021 Q2"</f>
        <v>2021 Q2</v>
      </c>
      <c r="V40" t="str">
        <f>"2021 Q1"</f>
        <v>2021 Q1</v>
      </c>
      <c r="W40" t="str">
        <f>"2020 Q4"</f>
        <v>2020 Q4</v>
      </c>
      <c r="X40" t="str">
        <f>"2020 Q3"</f>
        <v>2020 Q3</v>
      </c>
      <c r="Y40" t="str">
        <f>"2020 Q2"</f>
        <v>2020 Q2</v>
      </c>
      <c r="Z40" t="str">
        <f>"2020 Q1"</f>
        <v>2020 Q1</v>
      </c>
      <c r="AA40" t="str">
        <f>"2019 Q4"</f>
        <v>2019 Q4</v>
      </c>
      <c r="AB40" t="str">
        <f>"2019 Q3"</f>
        <v>2019 Q3</v>
      </c>
      <c r="AC40" t="str">
        <f>"2019 Q2"</f>
        <v>2019 Q2</v>
      </c>
      <c r="AD40" t="str">
        <f>"2019 Q1"</f>
        <v>2019 Q1</v>
      </c>
      <c r="AE40" t="str">
        <f>"2018 Q4"</f>
        <v>2018 Q4</v>
      </c>
      <c r="AF40" t="str">
        <f>"2018 Q3"</f>
        <v>2018 Q3</v>
      </c>
      <c r="AG40" t="str">
        <f>"2018 Q2"</f>
        <v>2018 Q2</v>
      </c>
      <c r="AH40" t="str">
        <f>"2018 Q1"</f>
        <v>2018 Q1</v>
      </c>
      <c r="AI40" t="str">
        <f>"2017 Q4"</f>
        <v>2017 Q4</v>
      </c>
      <c r="AJ40" t="str">
        <f>"2017 Q3"</f>
        <v>2017 Q3</v>
      </c>
      <c r="AK40" t="str">
        <f>"2017 Q2"</f>
        <v>2017 Q2</v>
      </c>
      <c r="AL40" t="str">
        <f>"2017 Q1"</f>
        <v>2017 Q1</v>
      </c>
      <c r="AP40" t="str">
        <f>""</f>
        <v/>
      </c>
      <c r="AQ40" t="str">
        <f>""</f>
        <v/>
      </c>
      <c r="AR40" t="str">
        <f>""</f>
        <v/>
      </c>
      <c r="AS40" t="str">
        <f>""</f>
        <v/>
      </c>
      <c r="AT40" t="str">
        <f>""</f>
        <v/>
      </c>
      <c r="AU40" t="str">
        <f>""</f>
        <v/>
      </c>
      <c r="AV40" t="str">
        <f>""</f>
        <v/>
      </c>
      <c r="AW40" t="str">
        <f>""</f>
        <v/>
      </c>
      <c r="AX40" t="str">
        <f>""</f>
        <v/>
      </c>
      <c r="AY40" t="str">
        <f>""</f>
        <v/>
      </c>
      <c r="AZ40" t="str">
        <f>""</f>
        <v/>
      </c>
      <c r="BA40" t="str">
        <f>""</f>
        <v/>
      </c>
      <c r="BB40" t="str">
        <f>""</f>
        <v/>
      </c>
      <c r="BC40" t="str">
        <f>""</f>
        <v/>
      </c>
      <c r="BD40" t="str">
        <f>""</f>
        <v/>
      </c>
      <c r="BE40" t="str">
        <f>""</f>
        <v/>
      </c>
      <c r="BF40" t="str">
        <f>""</f>
        <v/>
      </c>
      <c r="BG40" t="str">
        <f>""</f>
        <v/>
      </c>
      <c r="BH40" t="str">
        <f>""</f>
        <v/>
      </c>
      <c r="BI40" t="str">
        <f>""</f>
        <v/>
      </c>
      <c r="BJ40" t="str">
        <f>""</f>
        <v/>
      </c>
      <c r="BK40" t="str">
        <f>""</f>
        <v/>
      </c>
      <c r="BL40" t="str">
        <f>""</f>
        <v/>
      </c>
      <c r="BM40" t="str">
        <f>""</f>
        <v/>
      </c>
      <c r="BN40" t="str">
        <f>""</f>
        <v/>
      </c>
      <c r="BO40" t="str">
        <f>""</f>
        <v/>
      </c>
      <c r="BP40" t="str">
        <f>""</f>
        <v/>
      </c>
      <c r="BQ40" t="str">
        <f>""</f>
        <v/>
      </c>
      <c r="BR40" t="str">
        <f>""</f>
        <v/>
      </c>
      <c r="BS40" t="str">
        <f>""</f>
        <v/>
      </c>
      <c r="BT40" t="str">
        <f>""</f>
        <v/>
      </c>
      <c r="BU40" t="str">
        <f>""</f>
        <v/>
      </c>
      <c r="BV40" t="str">
        <f>""</f>
        <v/>
      </c>
      <c r="BW40" t="str">
        <f>""</f>
        <v/>
      </c>
      <c r="BX40" t="str">
        <f>""</f>
        <v/>
      </c>
      <c r="BY40" t="str">
        <f>""</f>
        <v/>
      </c>
    </row>
    <row r="41" spans="1:77" x14ac:dyDescent="0.25">
      <c r="A41" t="str">
        <f>"No error found"</f>
        <v>No error found</v>
      </c>
      <c r="B41" t="str">
        <f>""</f>
        <v/>
      </c>
      <c r="C41" t="str">
        <f>""</f>
        <v/>
      </c>
      <c r="D41" t="str">
        <f>""</f>
        <v/>
      </c>
      <c r="E41" t="str">
        <f>""</f>
        <v/>
      </c>
      <c r="AP41" t="str">
        <f>""</f>
        <v/>
      </c>
      <c r="AQ41" t="str">
        <f>""</f>
        <v/>
      </c>
      <c r="AR41" t="str">
        <f>""</f>
        <v/>
      </c>
      <c r="AS41" t="str">
        <f>""</f>
        <v/>
      </c>
      <c r="AT41" t="str">
        <f>""</f>
        <v/>
      </c>
      <c r="AU41" t="str">
        <f>""</f>
        <v/>
      </c>
      <c r="AV41" t="str">
        <f>""</f>
        <v/>
      </c>
      <c r="AW41" t="str">
        <f>""</f>
        <v/>
      </c>
      <c r="AX41" t="str">
        <f>""</f>
        <v/>
      </c>
      <c r="AY41" t="str">
        <f>""</f>
        <v/>
      </c>
      <c r="AZ41" t="str">
        <f>""</f>
        <v/>
      </c>
      <c r="BA41" t="str">
        <f>""</f>
        <v/>
      </c>
      <c r="BB41" t="str">
        <f>""</f>
        <v/>
      </c>
      <c r="BC41" t="str">
        <f>""</f>
        <v/>
      </c>
      <c r="BD41" t="str">
        <f>""</f>
        <v/>
      </c>
      <c r="BE41" t="str">
        <f>""</f>
        <v/>
      </c>
      <c r="BF41" t="str">
        <f>""</f>
        <v/>
      </c>
      <c r="BG41" t="str">
        <f>""</f>
        <v/>
      </c>
      <c r="BH41" t="str">
        <f>""</f>
        <v/>
      </c>
      <c r="BI41" t="str">
        <f>""</f>
        <v/>
      </c>
      <c r="BJ41" t="str">
        <f>""</f>
        <v/>
      </c>
      <c r="BK41" t="str">
        <f>""</f>
        <v/>
      </c>
      <c r="BL41" t="str">
        <f>""</f>
        <v/>
      </c>
      <c r="BM41" t="str">
        <f>""</f>
        <v/>
      </c>
      <c r="BN41" t="str">
        <f>""</f>
        <v/>
      </c>
      <c r="BO41" t="str">
        <f>""</f>
        <v/>
      </c>
      <c r="BP41" t="str">
        <f>""</f>
        <v/>
      </c>
      <c r="BQ41" t="str">
        <f>""</f>
        <v/>
      </c>
      <c r="BR41" t="str">
        <f>""</f>
        <v/>
      </c>
      <c r="BS41" t="str">
        <f>""</f>
        <v/>
      </c>
      <c r="BT41" t="str">
        <f>""</f>
        <v/>
      </c>
      <c r="BU41" t="str">
        <f>""</f>
        <v/>
      </c>
      <c r="BV41" t="str">
        <f>""</f>
        <v/>
      </c>
      <c r="BW41" t="str">
        <f>""</f>
        <v/>
      </c>
      <c r="BX41" t="str">
        <f>""</f>
        <v/>
      </c>
      <c r="BY41" t="str">
        <f>""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workbookViewId="0"/>
  </sheetViews>
  <sheetFormatPr defaultRowHeight="15" x14ac:dyDescent="0.25"/>
  <cols>
    <col min="1" max="1" width="9.140625" bestFit="1" customWidth="1"/>
  </cols>
  <sheetData>
    <row r="1" spans="1:1" x14ac:dyDescent="0.25">
      <c r="A1" s="1"/>
    </row>
    <row r="2" spans="1:1" x14ac:dyDescent="0.25">
      <c r="A2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</v>
      </c>
    </row>
    <row r="32" spans="1:1" x14ac:dyDescent="0.25">
      <c r="A32" t="s">
        <v>26</v>
      </c>
    </row>
    <row r="33" spans="1:1" x14ac:dyDescent="0.25">
      <c r="A3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BIData</vt:lpstr>
      <vt:lpstr>ReferenceData</vt:lpstr>
      <vt:lpstr>Help-Reference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antonio de ipiña</cp:lastModifiedBy>
  <dcterms:created xsi:type="dcterms:W3CDTF">2013-04-03T15:49:21Z</dcterms:created>
  <dcterms:modified xsi:type="dcterms:W3CDTF">2026-02-13T14:46:35Z</dcterms:modified>
</cp:coreProperties>
</file>