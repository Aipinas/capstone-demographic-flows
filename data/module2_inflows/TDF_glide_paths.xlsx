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8bb8ecf5f1122f78/Escritorio/capstone-demographic-flows/data/Module 2/"/>
    </mc:Choice>
  </mc:AlternateContent>
  <xr:revisionPtr revIDLastSave="0" documentId="8_{6007C24C-6EEA-4A72-9B08-448D59FACE0E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DF_GlidePath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" i="1" l="1"/>
  <c r="L10" i="1"/>
  <c r="K10" i="1"/>
  <c r="J10" i="1"/>
  <c r="I10" i="1"/>
  <c r="H10" i="1"/>
  <c r="G10" i="1"/>
  <c r="F10" i="1"/>
  <c r="E10" i="1"/>
  <c r="D10" i="1"/>
  <c r="C10" i="1"/>
  <c r="B10" i="1"/>
  <c r="M6" i="1"/>
  <c r="M11" i="1" s="1"/>
  <c r="L6" i="1"/>
  <c r="L11" i="1" s="1"/>
  <c r="K6" i="1"/>
  <c r="K11" i="1" s="1"/>
  <c r="J6" i="1"/>
  <c r="J11" i="1" s="1"/>
  <c r="I6" i="1"/>
  <c r="I11" i="1" s="1"/>
  <c r="H6" i="1"/>
  <c r="H11" i="1" s="1"/>
  <c r="G6" i="1"/>
  <c r="G11" i="1" s="1"/>
  <c r="F6" i="1"/>
  <c r="F11" i="1" s="1"/>
  <c r="E6" i="1"/>
  <c r="E11" i="1" s="1"/>
  <c r="D6" i="1"/>
  <c r="D11" i="1" s="1"/>
  <c r="C6" i="1"/>
  <c r="C11" i="1" s="1"/>
  <c r="B6" i="1"/>
  <c r="B11" i="1" s="1"/>
</calcChain>
</file>

<file path=xl/sharedStrings.xml><?xml version="1.0" encoding="utf-8"?>
<sst xmlns="http://schemas.openxmlformats.org/spreadsheetml/2006/main" count="26" uniqueCount="26">
  <si>
    <t>Vanguard Target-Date Fund Glide Paths — 2024 Allocations</t>
  </si>
  <si>
    <t>Source: Vanguard fund prospectuses. Tickers: VSVNX, VLXVX, VTTSX, VFFVX, VFIFX, VTIVX, VFORX, VTTHX, VTHRX, VTTVX, VTWNX, VTINX.</t>
  </si>
  <si>
    <t>Asset Class</t>
  </si>
  <si>
    <t>2070</t>
  </si>
  <si>
    <t>2065</t>
  </si>
  <si>
    <t>2060</t>
  </si>
  <si>
    <t>2055</t>
  </si>
  <si>
    <t>2050</t>
  </si>
  <si>
    <t>2045</t>
  </si>
  <si>
    <t>2040</t>
  </si>
  <si>
    <t>2035</t>
  </si>
  <si>
    <t>2030</t>
  </si>
  <si>
    <t>2025</t>
  </si>
  <si>
    <t>2020</t>
  </si>
  <si>
    <t>Income</t>
  </si>
  <si>
    <t>US Stock</t>
  </si>
  <si>
    <t>Intl Stock</t>
  </si>
  <si>
    <t>Total Equity</t>
  </si>
  <si>
    <t>US Bond</t>
  </si>
  <si>
    <t>Intl Bond</t>
  </si>
  <si>
    <t>TIPS</t>
  </si>
  <si>
    <t>Total Fixed Income</t>
  </si>
  <si>
    <t>Check (=1.00)</t>
  </si>
  <si>
    <t>Source: Vanguard Target Retirement Fund prospectuses, allocations as of 2024.</t>
  </si>
  <si>
    <t>Note: "Total Equity" = US Stock + Intl Stock. For Module 2, use US Stock row as TDF_US_Equity_Share.</t>
  </si>
  <si>
    <t>Vintage year ≈ expected retirement year. Workers born 1970 → retire ~2035 → use 2035 fund.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</si>
</sst>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FFFFFF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sz val="9"/>
      <color rgb="FF666666"/>
      <name val="Arial"/>
      <charset val="1"/>
    </font>
    <font>
      <i/>
      <sz val="8"/>
      <color rgb="FF666666"/>
      <name val="Arial"/>
      <charset val="1"/>
    </font>
    <font>
      <sz val="8"/>
      <color rgb="FF666666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D6E4F0"/>
        <bgColor rgb="FFD9D9D9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abSelected="1" zoomScaleNormal="100" workbookViewId="0">
      <pane ySplit="3" topLeftCell="A4" activePane="bottomLeft" state="frozen"/>
      <selection pane="bottomLeft" activeCell="P3" sqref="P3"/>
    </sheetView>
  </sheetViews>
  <sheetFormatPr defaultColWidth="8.7109375" defaultRowHeight="15" x14ac:dyDescent="0.25"/>
  <cols>
    <col min="1" max="1" width="18" customWidth="1"/>
    <col min="2" max="13" width="8" customWidth="1"/>
  </cols>
  <sheetData>
    <row r="1" spans="1:13" ht="27.75" customHeigh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ht="18" customHeight="1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30" customHeigh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x14ac:dyDescent="0.25">
      <c r="A4" s="4" t="s">
        <v>15</v>
      </c>
      <c r="B4" s="5">
        <v>0.53600000000000003</v>
      </c>
      <c r="C4" s="5">
        <v>0.53500000000000003</v>
      </c>
      <c r="D4" s="5">
        <v>0.53500000000000003</v>
      </c>
      <c r="E4" s="5">
        <v>0.53500000000000003</v>
      </c>
      <c r="F4" s="5">
        <v>0.53</v>
      </c>
      <c r="G4" s="5">
        <v>0.48699999999999999</v>
      </c>
      <c r="H4" s="5">
        <v>0.44400000000000001</v>
      </c>
      <c r="I4" s="5">
        <v>0.4</v>
      </c>
      <c r="J4" s="5">
        <v>0.35599999999999998</v>
      </c>
      <c r="K4" s="5">
        <v>0.29599999999999999</v>
      </c>
      <c r="L4" s="5">
        <v>0.20899999999999999</v>
      </c>
      <c r="M4" s="5">
        <v>0.185</v>
      </c>
    </row>
    <row r="5" spans="1:13" x14ac:dyDescent="0.25">
      <c r="A5" s="6" t="s">
        <v>16</v>
      </c>
      <c r="B5" s="7">
        <v>0.377</v>
      </c>
      <c r="C5" s="7">
        <v>0.379</v>
      </c>
      <c r="D5" s="7">
        <v>0.379</v>
      </c>
      <c r="E5" s="7">
        <v>0.379</v>
      </c>
      <c r="F5" s="7">
        <v>0.376</v>
      </c>
      <c r="G5" s="7">
        <v>0.34699999999999998</v>
      </c>
      <c r="H5" s="7">
        <v>0.314</v>
      </c>
      <c r="I5" s="7">
        <v>0.28199999999999997</v>
      </c>
      <c r="J5" s="7">
        <v>0.247</v>
      </c>
      <c r="K5" s="7">
        <v>0.20300000000000001</v>
      </c>
      <c r="L5" s="7">
        <v>0.14499999999999999</v>
      </c>
      <c r="M5" s="7">
        <v>0.129</v>
      </c>
    </row>
    <row r="6" spans="1:13" x14ac:dyDescent="0.25">
      <c r="A6" s="8" t="s">
        <v>17</v>
      </c>
      <c r="B6" s="9">
        <f t="shared" ref="B6:M6" si="0">SUM(B4:B5)</f>
        <v>0.91300000000000003</v>
      </c>
      <c r="C6" s="9">
        <f t="shared" si="0"/>
        <v>0.91400000000000003</v>
      </c>
      <c r="D6" s="9">
        <f t="shared" si="0"/>
        <v>0.91400000000000003</v>
      </c>
      <c r="E6" s="9">
        <f t="shared" si="0"/>
        <v>0.91400000000000003</v>
      </c>
      <c r="F6" s="9">
        <f t="shared" si="0"/>
        <v>0.90600000000000003</v>
      </c>
      <c r="G6" s="9">
        <f t="shared" si="0"/>
        <v>0.83399999999999996</v>
      </c>
      <c r="H6" s="9">
        <f t="shared" si="0"/>
        <v>0.75800000000000001</v>
      </c>
      <c r="I6" s="9">
        <f t="shared" si="0"/>
        <v>0.68199999999999994</v>
      </c>
      <c r="J6" s="9">
        <f t="shared" si="0"/>
        <v>0.60299999999999998</v>
      </c>
      <c r="K6" s="9">
        <f t="shared" si="0"/>
        <v>0.499</v>
      </c>
      <c r="L6" s="9">
        <f t="shared" si="0"/>
        <v>0.35399999999999998</v>
      </c>
      <c r="M6" s="9">
        <f t="shared" si="0"/>
        <v>0.314</v>
      </c>
    </row>
    <row r="7" spans="1:13" x14ac:dyDescent="0.25">
      <c r="A7" s="6" t="s">
        <v>18</v>
      </c>
      <c r="B7" s="7">
        <v>6.2E-2</v>
      </c>
      <c r="C7" s="7">
        <v>6.2E-2</v>
      </c>
      <c r="D7" s="7">
        <v>6.2E-2</v>
      </c>
      <c r="E7" s="7">
        <v>6.2E-2</v>
      </c>
      <c r="F7" s="7">
        <v>6.8000000000000005E-2</v>
      </c>
      <c r="G7" s="7">
        <v>0.11899999999999999</v>
      </c>
      <c r="H7" s="7">
        <v>0.17199999999999999</v>
      </c>
      <c r="I7" s="7">
        <v>0.22500000000000001</v>
      </c>
      <c r="J7" s="7">
        <v>0.27700000000000002</v>
      </c>
      <c r="K7" s="7">
        <v>0.29499999999999998</v>
      </c>
      <c r="L7" s="7">
        <v>0.35199999999999998</v>
      </c>
      <c r="M7" s="7">
        <v>0.36699999999999999</v>
      </c>
    </row>
    <row r="8" spans="1:13" x14ac:dyDescent="0.25">
      <c r="A8" s="4" t="s">
        <v>19</v>
      </c>
      <c r="B8" s="5">
        <v>2.5000000000000001E-2</v>
      </c>
      <c r="C8" s="5">
        <v>2.4E-2</v>
      </c>
      <c r="D8" s="5">
        <v>2.4E-2</v>
      </c>
      <c r="E8" s="5">
        <v>2.4E-2</v>
      </c>
      <c r="F8" s="5">
        <v>2.5999999999999999E-2</v>
      </c>
      <c r="G8" s="5">
        <v>4.7E-2</v>
      </c>
      <c r="H8" s="5">
        <v>7.0000000000000007E-2</v>
      </c>
      <c r="I8" s="5">
        <v>9.2999999999999999E-2</v>
      </c>
      <c r="J8" s="5">
        <v>0.11600000000000001</v>
      </c>
      <c r="K8" s="5">
        <v>0.124</v>
      </c>
      <c r="L8" s="5">
        <v>0.14799999999999999</v>
      </c>
      <c r="M8" s="5">
        <v>0.155</v>
      </c>
    </row>
    <row r="9" spans="1:13" x14ac:dyDescent="0.25">
      <c r="A9" s="6" t="s">
        <v>20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4.0000000000000001E-3</v>
      </c>
      <c r="K9" s="7">
        <v>8.2000000000000003E-2</v>
      </c>
      <c r="L9" s="7">
        <v>0.14599999999999999</v>
      </c>
      <c r="M9" s="7">
        <v>0.16400000000000001</v>
      </c>
    </row>
    <row r="10" spans="1:13" x14ac:dyDescent="0.25">
      <c r="A10" s="8" t="s">
        <v>21</v>
      </c>
      <c r="B10" s="9">
        <f t="shared" ref="B10:M10" si="1">SUM(B7:B9)</f>
        <v>8.6999999999999994E-2</v>
      </c>
      <c r="C10" s="9">
        <f t="shared" si="1"/>
        <v>8.5999999999999993E-2</v>
      </c>
      <c r="D10" s="9">
        <f t="shared" si="1"/>
        <v>8.5999999999999993E-2</v>
      </c>
      <c r="E10" s="9">
        <f t="shared" si="1"/>
        <v>8.5999999999999993E-2</v>
      </c>
      <c r="F10" s="9">
        <f t="shared" si="1"/>
        <v>9.4E-2</v>
      </c>
      <c r="G10" s="9">
        <f t="shared" si="1"/>
        <v>0.16599999999999998</v>
      </c>
      <c r="H10" s="9">
        <f t="shared" si="1"/>
        <v>0.24199999999999999</v>
      </c>
      <c r="I10" s="9">
        <f t="shared" si="1"/>
        <v>0.318</v>
      </c>
      <c r="J10" s="9">
        <f t="shared" si="1"/>
        <v>0.39700000000000002</v>
      </c>
      <c r="K10" s="9">
        <f t="shared" si="1"/>
        <v>0.501</v>
      </c>
      <c r="L10" s="9">
        <f t="shared" si="1"/>
        <v>0.64600000000000002</v>
      </c>
      <c r="M10" s="9">
        <f t="shared" si="1"/>
        <v>0.68600000000000005</v>
      </c>
    </row>
    <row r="11" spans="1:13" x14ac:dyDescent="0.25">
      <c r="A11" s="10" t="s">
        <v>22</v>
      </c>
      <c r="B11" s="11">
        <f t="shared" ref="B11:M11" si="2">B6+B10</f>
        <v>1</v>
      </c>
      <c r="C11" s="11">
        <f t="shared" si="2"/>
        <v>1</v>
      </c>
      <c r="D11" s="11">
        <f t="shared" si="2"/>
        <v>1</v>
      </c>
      <c r="E11" s="11">
        <f t="shared" si="2"/>
        <v>1</v>
      </c>
      <c r="F11" s="11">
        <f t="shared" si="2"/>
        <v>1</v>
      </c>
      <c r="G11" s="11">
        <f t="shared" si="2"/>
        <v>1</v>
      </c>
      <c r="H11" s="11">
        <f t="shared" si="2"/>
        <v>1</v>
      </c>
      <c r="I11" s="11">
        <f t="shared" si="2"/>
        <v>1</v>
      </c>
      <c r="J11" s="11">
        <f t="shared" si="2"/>
        <v>1</v>
      </c>
      <c r="K11" s="11">
        <f t="shared" si="2"/>
        <v>1</v>
      </c>
      <c r="L11" s="11">
        <f t="shared" si="2"/>
        <v>1</v>
      </c>
      <c r="M11" s="11">
        <f t="shared" si="2"/>
        <v>1</v>
      </c>
    </row>
    <row r="13" spans="1:13" x14ac:dyDescent="0.25">
      <c r="A13" s="12" t="s">
        <v>23</v>
      </c>
    </row>
    <row r="14" spans="1:13" x14ac:dyDescent="0.25">
      <c r="A14" s="13" t="s">
        <v>24</v>
      </c>
    </row>
    <row r="15" spans="1:13" x14ac:dyDescent="0.25">
      <c r="A15" s="13" t="s">
        <v>25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TDF_GlidePaths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antonio de ipiña</cp:lastModifiedBy>
  <cp:revision>0</cp:revision>
  <dcterms:created xsi:type="dcterms:W3CDTF">2026-02-17T11:00:22Z</dcterms:created>
  <dcterms:modified xsi:type="dcterms:W3CDTF">2026-02-17T11:12:55Z</dcterms:modified>
  <dc:language>en-US</dc:language>
</cp:coreProperties>
</file>