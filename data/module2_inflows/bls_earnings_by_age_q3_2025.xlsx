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capstone-demographic-flows/data/Module 2/"/>
    </mc:Choice>
  </mc:AlternateContent>
  <xr:revisionPtr revIDLastSave="0" documentId="8_{BA25A8E3-7830-4062-95BE-85FB90117CA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arnings_By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<sst xmlns="http://schemas.openxmlformats.org/spreadsheetml/2006/main" count="21" uniqueCount="21">
  <si>
    <t>BLS Usual Weekly Earnings by Age — Q3 2025</t>
  </si>
  <si>
    <t>Source: BLS USDL-25-1529, Table 3. Full-time wage &amp; salary workers, not seasonally adjusted.</t>
  </si>
  <si>
    <t>Age Group</t>
  </si>
  <si>
    <t>Workers (000s)</t>
  </si>
  <si>
    <t>Median Weekly ($)</t>
  </si>
  <si>
    <t>Annual (×52) ($)</t>
  </si>
  <si>
    <t>Men Weekly ($)</t>
  </si>
  <si>
    <t>Women Weekly ($)</t>
  </si>
  <si>
    <t>Men Workers (000s)</t>
  </si>
  <si>
    <t>Women Workers (000s)</t>
  </si>
  <si>
    <t>16-19</t>
  </si>
  <si>
    <t>20-24</t>
  </si>
  <si>
    <t>25-34</t>
  </si>
  <si>
    <t>35-44</t>
  </si>
  <si>
    <t>45-54</t>
  </si>
  <si>
    <t>55-64</t>
  </si>
  <si>
    <t>65+</t>
  </si>
  <si>
    <t>Total 16+</t>
  </si>
  <si>
    <t>Source: Bureau of Labor Statistics, Usual Weekly Earnings Q3 2025 (USDL-25-1529), Table 3.</t>
  </si>
  <si>
    <t>Note: MEDIAN earnings. Mean not published in this release. Median underestimates total payroll due to right skew.</t>
  </si>
  <si>
    <t>Annual = Weekly × 52. Self-employed excluded. October 2025 not collected (government shutdown).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</si>
</sst>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8"/>
      <color rgb="FF666666"/>
      <name val="Arial"/>
      <charset val="1"/>
    </font>
    <font>
      <sz val="8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3" topLeftCell="A4" activePane="bottomLeft" state="frozen"/>
      <selection pane="bottomLeft" activeCell="G19" sqref="G19"/>
    </sheetView>
  </sheetViews>
  <sheetFormatPr defaultColWidth="8.7109375" defaultRowHeight="15" x14ac:dyDescent="0.25"/>
  <cols>
    <col min="1" max="1" width="12" customWidth="1"/>
    <col min="2" max="2" width="14" customWidth="1"/>
    <col min="3" max="3" width="16" customWidth="1"/>
    <col min="4" max="4" width="15" customWidth="1"/>
    <col min="5" max="5" width="14" customWidth="1"/>
    <col min="6" max="7" width="16" customWidth="1"/>
    <col min="8" max="8" width="18" customWidth="1"/>
  </cols>
  <sheetData>
    <row r="1" spans="1:8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18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30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 t="s">
        <v>10</v>
      </c>
      <c r="B4" s="5">
        <v>1764</v>
      </c>
      <c r="C4" s="6">
        <v>622</v>
      </c>
      <c r="D4" s="6">
        <f t="shared" ref="D4:D11" si="0">C4*52</f>
        <v>32344</v>
      </c>
      <c r="E4" s="6">
        <v>663</v>
      </c>
      <c r="F4" s="6">
        <v>593</v>
      </c>
      <c r="G4" s="5">
        <v>1056</v>
      </c>
      <c r="H4" s="5">
        <v>708</v>
      </c>
    </row>
    <row r="5" spans="1:8" x14ac:dyDescent="0.25">
      <c r="A5" s="7" t="s">
        <v>11</v>
      </c>
      <c r="B5" s="8">
        <v>9534</v>
      </c>
      <c r="C5" s="9">
        <v>796</v>
      </c>
      <c r="D5" s="9">
        <f t="shared" si="0"/>
        <v>41392</v>
      </c>
      <c r="E5" s="9">
        <v>825</v>
      </c>
      <c r="F5" s="9">
        <v>743</v>
      </c>
      <c r="G5" s="8">
        <v>5341</v>
      </c>
      <c r="H5" s="8">
        <v>4193</v>
      </c>
    </row>
    <row r="6" spans="1:8" x14ac:dyDescent="0.25">
      <c r="A6" s="4" t="s">
        <v>12</v>
      </c>
      <c r="B6" s="5">
        <v>29964</v>
      </c>
      <c r="C6" s="6">
        <v>1150</v>
      </c>
      <c r="D6" s="6">
        <f t="shared" si="0"/>
        <v>59800</v>
      </c>
      <c r="E6" s="6">
        <v>1221</v>
      </c>
      <c r="F6" s="6">
        <v>1055</v>
      </c>
      <c r="G6" s="5">
        <v>16622</v>
      </c>
      <c r="H6" s="5">
        <v>13342</v>
      </c>
    </row>
    <row r="7" spans="1:8" x14ac:dyDescent="0.25">
      <c r="A7" s="7" t="s">
        <v>13</v>
      </c>
      <c r="B7" s="8">
        <v>29948</v>
      </c>
      <c r="C7" s="9">
        <v>1385</v>
      </c>
      <c r="D7" s="9">
        <f t="shared" si="0"/>
        <v>72020</v>
      </c>
      <c r="E7" s="9">
        <v>1504</v>
      </c>
      <c r="F7" s="9">
        <v>1226</v>
      </c>
      <c r="G7" s="8">
        <v>16799</v>
      </c>
      <c r="H7" s="8">
        <v>13149</v>
      </c>
    </row>
    <row r="8" spans="1:8" x14ac:dyDescent="0.25">
      <c r="A8" s="4" t="s">
        <v>14</v>
      </c>
      <c r="B8" s="5">
        <v>25501</v>
      </c>
      <c r="C8" s="6">
        <v>1377</v>
      </c>
      <c r="D8" s="6">
        <f t="shared" si="0"/>
        <v>71604</v>
      </c>
      <c r="E8" s="6">
        <v>1497</v>
      </c>
      <c r="F8" s="6">
        <v>1192</v>
      </c>
      <c r="G8" s="5">
        <v>13899</v>
      </c>
      <c r="H8" s="5">
        <v>11603</v>
      </c>
    </row>
    <row r="9" spans="1:8" x14ac:dyDescent="0.25">
      <c r="A9" s="7" t="s">
        <v>15</v>
      </c>
      <c r="B9" s="8">
        <v>20000</v>
      </c>
      <c r="C9" s="9">
        <v>1322</v>
      </c>
      <c r="D9" s="9">
        <f t="shared" si="0"/>
        <v>68744</v>
      </c>
      <c r="E9" s="9">
        <v>1481</v>
      </c>
      <c r="F9" s="9">
        <v>1103</v>
      </c>
      <c r="G9" s="8">
        <v>10760</v>
      </c>
      <c r="H9" s="8">
        <v>9240</v>
      </c>
    </row>
    <row r="10" spans="1:8" x14ac:dyDescent="0.25">
      <c r="A10" s="4" t="s">
        <v>16</v>
      </c>
      <c r="B10" s="5">
        <v>5861</v>
      </c>
      <c r="C10" s="6">
        <v>1193</v>
      </c>
      <c r="D10" s="6">
        <f t="shared" si="0"/>
        <v>62036</v>
      </c>
      <c r="E10" s="6">
        <v>1259</v>
      </c>
      <c r="F10" s="6">
        <v>1119</v>
      </c>
      <c r="G10" s="5">
        <v>3315</v>
      </c>
      <c r="H10" s="5">
        <v>2546</v>
      </c>
    </row>
    <row r="11" spans="1:8" x14ac:dyDescent="0.25">
      <c r="A11" s="10" t="s">
        <v>17</v>
      </c>
      <c r="B11" s="11">
        <v>122572</v>
      </c>
      <c r="C11" s="12">
        <v>1214</v>
      </c>
      <c r="D11" s="12">
        <f t="shared" si="0"/>
        <v>63128</v>
      </c>
      <c r="E11" s="12">
        <v>1333</v>
      </c>
      <c r="F11" s="12">
        <v>1076</v>
      </c>
      <c r="G11" s="11">
        <v>67792</v>
      </c>
      <c r="H11" s="11">
        <v>54780</v>
      </c>
    </row>
    <row r="13" spans="1:8" x14ac:dyDescent="0.25">
      <c r="A13" s="13" t="s">
        <v>18</v>
      </c>
    </row>
    <row r="14" spans="1:8" x14ac:dyDescent="0.25">
      <c r="A14" s="14" t="s">
        <v>19</v>
      </c>
    </row>
    <row r="15" spans="1:8" x14ac:dyDescent="0.25">
      <c r="A15" s="14" t="s">
        <v>20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Earnings_ByAge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de ipiña</cp:lastModifiedBy>
  <cp:revision>0</cp:revision>
  <dcterms:created xsi:type="dcterms:W3CDTF">2026-02-17T11:00:22Z</dcterms:created>
  <dcterms:modified xsi:type="dcterms:W3CDTF">2026-02-17T11:13:10Z</dcterms:modified>
  <dc:language>en-US</dc:language>
</cp:coreProperties>
</file>